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epthi's_Document\deepthi folder\da +pm job roles for resume\excel amd my dream job in  data analyst\"/>
    </mc:Choice>
  </mc:AlternateContent>
  <xr:revisionPtr revIDLastSave="0" documentId="13_ncr:1_{59B7F630-5D2D-4D19-AE6F-B261B67CFDCF}" xr6:coauthVersionLast="47" xr6:coauthVersionMax="47" xr10:uidLastSave="{00000000-0000-0000-0000-000000000000}"/>
  <bookViews>
    <workbookView xWindow="-108" yWindow="-108" windowWidth="23256" windowHeight="12456" activeTab="1" xr2:uid="{26C5E76F-41E6-41F6-B5F2-48F4C162F8BB}"/>
  </bookViews>
  <sheets>
    <sheet name="Sheet2" sheetId="3" r:id="rId1"/>
    <sheet name="Dashboard" sheetId="5" r:id="rId2"/>
    <sheet name="Supply chain dataset" sheetId="1" r:id="rId3"/>
    <sheet name=" Summary" sheetId="2" r:id="rId4"/>
  </sheets>
  <externalReferences>
    <externalReference r:id="rId5"/>
  </externalReferences>
  <calcPr calcId="181029"/>
  <pivotCaches>
    <pivotCache cacheId="0" r:id="rId6"/>
  </pivotCaches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<sst xmlns="http://schemas.openxmlformats.org/spreadsheetml/2006/main" count="948" uniqueCount="167">
  <si>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</si>
  <si>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</si>
  <si>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</si>
  <si>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</si>
  <si>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</si>
  <si>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</si>
  <si>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</si>
  <si>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</si>
  <si>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</si>
  <si>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</si>
  <si>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</si>
  <si>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</si>
  <si>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</si>
  <si>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</si>
  <si>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</si>
  <si>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</si>
  <si>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</si>
  <si>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</si>
  <si>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</si>
  <si>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</si>
  <si>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</si>
  <si>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</si>
  <si>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</si>
  <si>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</si>
  <si>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</si>
  <si>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</si>
  <si>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</si>
  <si>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</si>
  <si>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</si>
  <si>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</si>
  <si>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</si>
  <si>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</si>
  <si>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</si>
  <si>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</si>
  <si>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</si>
  <si>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</si>
  <si>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</si>
  <si>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</si>
  <si>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</si>
  <si>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</si>
  <si>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</si>
  <si>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</si>
  <si>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</si>
  <si>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</si>
  <si>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</si>
  <si>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</si>
  <si>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</si>
  <si>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</si>
  <si>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</si>
  <si>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</si>
  <si>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</si>
  <si>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</si>
  <si>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</si>
  <si>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</si>
  <si>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</si>
  <si>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</si>
  <si>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</si>
  <si>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</si>
  <si>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</si>
  <si>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</si>
  <si>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</si>
  <si>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</si>
  <si>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</si>
  <si>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</si>
  <si>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</si>
  <si>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</si>
  <si>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</si>
  <si>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</si>
  <si>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</si>
  <si>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</si>
  <si>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</si>
  <si>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</si>
  <si>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</si>
  <si>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</si>
  <si>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</si>
  <si>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</si>
  <si>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</si>
  <si>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</si>
  <si>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</si>
  <si>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</si>
  <si>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</si>
  <si>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</si>
  <si>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</si>
  <si>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</si>
  <si>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</si>
  <si>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</si>
  <si>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</si>
  <si>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</si>
  <si>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</si>
  <si>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</si>
  <si>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</si>
  <si>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</si>
  <si>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</si>
  <si>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</si>
  <si>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</si>
  <si>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</si>
  <si>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</si>
  <si>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</si>
  <si>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</si>
  <si>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</si>
  <si>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</si>
  <si>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</si>
  <si>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</si>
  <si>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</si>
  <si>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</si>
  <si>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</si>
  <si>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</si>
  <si>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</si>
  <si>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</si>
  <si>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</si>
  <si>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</si>
  <si>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</si>
  <si>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</si>
  <si>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</si>
  <si>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</si>
  <si>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</si>
  <si>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</si>
  <si>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</si>
  <si>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</si>
  <si>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</si>
  <si>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</si>
  <si>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</si>
  <si>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</si>
  <si>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</si>
  <si>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</si>
  <si>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</si>
  <si>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</si>
  <si>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</si>
  <si>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</si>
  <si>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</si>
  <si>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</si>
  <si>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</si>
  <si>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</si>
  <si>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</si>
  <si>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</si>
  <si>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</si>
  <si>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</si>
  <si>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</si>
  <si>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</si>
  <si>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</si>
  <si>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</si>
  <si>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</si>
  <si>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</si>
  <si>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</si>
  <si>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</si>
  <si>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</si>
  <si>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</si>
  <si>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</si>
  <si>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</si>
  <si>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</si>
  <si>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</si>
  <si>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</si>
  <si>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</si>
  <si>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</si>
  <si>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Metric</t>
  </si>
  <si>
    <t>Value</t>
  </si>
  <si>
    <t>Total Products Sold</t>
  </si>
  <si>
    <t>Total Revenue</t>
  </si>
  <si>
    <t>Average Price</t>
  </si>
  <si>
    <t>Average Defect Rate</t>
  </si>
  <si>
    <t>Total Shipping Cost</t>
  </si>
  <si>
    <t>Total Costs</t>
  </si>
  <si>
    <t>Row Labels</t>
  </si>
  <si>
    <t>Grand Total</t>
  </si>
  <si>
    <t>Sum of Revenue generated</t>
  </si>
  <si>
    <t>Sum of Number of products sold</t>
  </si>
  <si>
    <t>Sum of Defect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</si>
</sst>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dataset.xlsx]Sheet2!PivotTable1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Revenue generated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161521.26600100004</c:v>
                </c:pt>
                <c:pt idx="1">
                  <c:v>174455.390606</c:v>
                </c:pt>
                <c:pt idx="2">
                  <c:v>241628.16213300003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7-4A98-9A57-CA028821314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Number of products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11757</c:v>
                </c:pt>
                <c:pt idx="1">
                  <c:v>13611</c:v>
                </c:pt>
                <c:pt idx="2">
                  <c:v>20731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A7-4A98-9A57-CA0288213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969103"/>
        <c:axId val="248952783"/>
      </c:barChart>
      <c:catAx>
        <c:axId val="24896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52783"/>
        <c:crosses val="autoZero"/>
        <c:auto val="1"/>
        <c:lblAlgn val="ctr"/>
        <c:lblOffset val="100"/>
        <c:noMultiLvlLbl val="0"/>
      </c:catAx>
      <c:valAx>
        <c:axId val="24895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6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dataset.xlsx]Dashboard!PivotTable2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Sum of Revenue generated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Dashboard!$B$4:$B$9</c:f>
              <c:numCache>
                <c:formatCode>General</c:formatCode>
                <c:ptCount val="5"/>
                <c:pt idx="0">
                  <c:v>157528.99504000001</c:v>
                </c:pt>
                <c:pt idx="1">
                  <c:v>125467.418607</c:v>
                </c:pt>
                <c:pt idx="2">
                  <c:v>97795.979637000011</c:v>
                </c:pt>
                <c:pt idx="3">
                  <c:v>86468.961800000005</c:v>
                </c:pt>
                <c:pt idx="4">
                  <c:v>110343.46365599999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2-4DC1-9D2E-0E7143A0874F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Sum of Defect rates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Dashboard!$C$4:$C$9</c:f>
              <c:numCache>
                <c:formatCode>General</c:formatCode>
                <c:ptCount val="5"/>
                <c:pt idx="0">
                  <c:v>48.698002215999999</c:v>
                </c:pt>
                <c:pt idx="1">
                  <c:v>51.980503191999993</c:v>
                </c:pt>
                <c:pt idx="2">
                  <c:v>36.986790460999998</c:v>
                </c:pt>
                <c:pt idx="3">
                  <c:v>42.073153211000005</c:v>
                </c:pt>
                <c:pt idx="4">
                  <c:v>47.977350194000003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72-4DC1-9D2E-0E7143A08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979663"/>
        <c:axId val="248972463"/>
      </c:barChart>
      <c:catAx>
        <c:axId val="24897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72463"/>
        <c:crosses val="autoZero"/>
        <c:auto val="1"/>
        <c:lblAlgn val="ctr"/>
        <c:lblOffset val="100"/>
        <c:noMultiLvlLbl val="0"/>
      </c:catAx>
      <c:valAx>
        <c:axId val="24897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7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Summary'!$B$1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Summary'!$A$2:$A$7</c:f>
              <c:strCache>
                <c:ptCount val="6"/>
                <c:pt idx="0">
                  <c:v>Total Products Sold</c:v>
                </c:pt>
                <c:pt idx="1">
                  <c:v>Total Revenue</c:v>
                </c:pt>
                <c:pt idx="2">
                  <c:v>Average Price</c:v>
                </c:pt>
                <c:pt idx="3">
                  <c:v>Average Defect Rate</c:v>
                </c:pt>
                <c:pt idx="4">
                  <c:v>Total Shipping Cost</c:v>
                </c:pt>
                <c:pt idx="5">
                  <c:v>Total Costs</c:v>
                </c:pt>
              </c:strCache>
            </c:strRef>
          </c:cat>
          <c:val>
            <c:numRef>
              <c:f>' Summary'!$B$2:$B$7</c:f>
              <c:numCache>
                <c:formatCode>General</c:formatCode>
                <c:ptCount val="6"/>
                <c:pt idx="0">
                  <c:v>46099</c:v>
                </c:pt>
                <c:pt idx="1">
                  <c:v>577604.81874000002</c:v>
                </c:pt>
                <c:pt idx="2">
                  <c:v>49.46246134490999</c:v>
                </c:pt>
                <c:pt idx="3">
                  <c:v>2.2771579927399999</c:v>
                </c:pt>
                <c:pt idx="4">
                  <c:v>554.81490720000011</c:v>
                </c:pt>
                <c:pt idx="5">
                  <c:v>52924.578215400019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F-4E02-9E74-A83DD4908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951343"/>
        <c:axId val="248964303"/>
      </c:barChart>
      <c:catAx>
        <c:axId val="24895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64303"/>
        <c:crosses val="autoZero"/>
        <c:auto val="1"/>
        <c:lblAlgn val="ctr"/>
        <c:lblOffset val="100"/>
        <c:noMultiLvlLbl val="0"/>
      </c:catAx>
      <c:valAx>
        <c:axId val="24896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5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4</xdr:row>
      <xdr:rowOff>106680</xdr:rowOff>
    </xdr:from>
    <xdr:to>
      <xdr:col>12</xdr:col>
      <xdr:colOff>518160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7115E-F9BC-3265-03EE-37C6F227D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5</xdr:row>
      <xdr:rowOff>83820</xdr:rowOff>
    </xdr:from>
    <xdr:to>
      <xdr:col>13</xdr:col>
      <xdr:colOff>381000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3470FB-BA34-DF95-9B01-50038E3CF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144780</xdr:rowOff>
    </xdr:from>
    <xdr:to>
      <xdr:col>15</xdr:col>
      <xdr:colOff>228600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DFE76-3723-72DC-03BB-E4A5A9F88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pply%20chain%20datas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y chain dataser"/>
    </sheetNames>
    <sheetDataSet>
      <sheetData sheetId="0">
        <row r="1">
          <cell r="E1" t="str">
            <v>Number of products sold</v>
          </cell>
        </row>
        <row r="2">
          <cell r="E2">
            <v>802</v>
          </cell>
        </row>
        <row r="3">
          <cell r="E3">
            <v>736</v>
          </cell>
        </row>
        <row r="4">
          <cell r="E4">
            <v>8</v>
          </cell>
        </row>
        <row r="5">
          <cell r="E5">
            <v>83</v>
          </cell>
        </row>
        <row r="6">
          <cell r="E6">
            <v>871</v>
          </cell>
        </row>
        <row r="7">
          <cell r="E7">
            <v>147</v>
          </cell>
        </row>
        <row r="8">
          <cell r="E8">
            <v>65</v>
          </cell>
        </row>
        <row r="9">
          <cell r="E9">
            <v>426</v>
          </cell>
        </row>
        <row r="10">
          <cell r="E10">
            <v>150</v>
          </cell>
        </row>
        <row r="11">
          <cell r="E11">
            <v>980</v>
          </cell>
        </row>
        <row r="12">
          <cell r="E12">
            <v>996</v>
          </cell>
        </row>
        <row r="13">
          <cell r="E13">
            <v>960</v>
          </cell>
        </row>
        <row r="14">
          <cell r="E14">
            <v>336</v>
          </cell>
        </row>
        <row r="15">
          <cell r="E15">
            <v>249</v>
          </cell>
        </row>
        <row r="16">
          <cell r="E16">
            <v>562</v>
          </cell>
        </row>
        <row r="17">
          <cell r="E17">
            <v>469</v>
          </cell>
        </row>
        <row r="18">
          <cell r="E18">
            <v>280</v>
          </cell>
        </row>
        <row r="19">
          <cell r="E19">
            <v>126</v>
          </cell>
        </row>
        <row r="20">
          <cell r="E20">
            <v>620</v>
          </cell>
        </row>
        <row r="21">
          <cell r="E21">
            <v>187</v>
          </cell>
        </row>
        <row r="22">
          <cell r="E22">
            <v>320</v>
          </cell>
        </row>
        <row r="23">
          <cell r="E23">
            <v>601</v>
          </cell>
        </row>
        <row r="24">
          <cell r="E24">
            <v>884</v>
          </cell>
        </row>
        <row r="25">
          <cell r="E25">
            <v>391</v>
          </cell>
        </row>
        <row r="26">
          <cell r="E26">
            <v>209</v>
          </cell>
        </row>
        <row r="27">
          <cell r="E27">
            <v>142</v>
          </cell>
        </row>
        <row r="28">
          <cell r="E28">
            <v>353</v>
          </cell>
        </row>
        <row r="29">
          <cell r="E29">
            <v>352</v>
          </cell>
        </row>
        <row r="30">
          <cell r="E30">
            <v>394</v>
          </cell>
        </row>
        <row r="31">
          <cell r="E31">
            <v>253</v>
          </cell>
        </row>
        <row r="32">
          <cell r="E32">
            <v>327</v>
          </cell>
        </row>
        <row r="33">
          <cell r="E33">
            <v>168</v>
          </cell>
        </row>
        <row r="34">
          <cell r="E34">
            <v>781</v>
          </cell>
        </row>
        <row r="35">
          <cell r="E35">
            <v>616</v>
          </cell>
        </row>
        <row r="36">
          <cell r="E36">
            <v>602</v>
          </cell>
        </row>
        <row r="37">
          <cell r="E37">
            <v>449</v>
          </cell>
        </row>
        <row r="38">
          <cell r="E38">
            <v>963</v>
          </cell>
        </row>
        <row r="39">
          <cell r="E39">
            <v>963</v>
          </cell>
        </row>
        <row r="40">
          <cell r="E40">
            <v>705</v>
          </cell>
        </row>
        <row r="41">
          <cell r="E41">
            <v>176</v>
          </cell>
        </row>
        <row r="42">
          <cell r="E42">
            <v>933</v>
          </cell>
        </row>
        <row r="43">
          <cell r="E43">
            <v>556</v>
          </cell>
        </row>
        <row r="44">
          <cell r="E44">
            <v>155</v>
          </cell>
        </row>
        <row r="45">
          <cell r="E45">
            <v>598</v>
          </cell>
        </row>
        <row r="46">
          <cell r="E46">
            <v>919</v>
          </cell>
        </row>
        <row r="47">
          <cell r="E47">
            <v>24</v>
          </cell>
        </row>
        <row r="48">
          <cell r="E48">
            <v>859</v>
          </cell>
        </row>
        <row r="49">
          <cell r="E49">
            <v>910</v>
          </cell>
        </row>
        <row r="50">
          <cell r="E50">
            <v>29</v>
          </cell>
        </row>
        <row r="51">
          <cell r="E51">
            <v>99</v>
          </cell>
        </row>
        <row r="52">
          <cell r="E52">
            <v>633</v>
          </cell>
        </row>
        <row r="53">
          <cell r="E53">
            <v>154</v>
          </cell>
        </row>
        <row r="54">
          <cell r="E54">
            <v>820</v>
          </cell>
        </row>
        <row r="55">
          <cell r="E55">
            <v>242</v>
          </cell>
        </row>
        <row r="56">
          <cell r="E56">
            <v>622</v>
          </cell>
        </row>
        <row r="57">
          <cell r="E57">
            <v>701</v>
          </cell>
        </row>
        <row r="58">
          <cell r="E58">
            <v>93</v>
          </cell>
        </row>
        <row r="59">
          <cell r="E59">
            <v>227</v>
          </cell>
        </row>
        <row r="60">
          <cell r="E60">
            <v>896</v>
          </cell>
        </row>
        <row r="61">
          <cell r="E61">
            <v>484</v>
          </cell>
        </row>
        <row r="62">
          <cell r="E62">
            <v>380</v>
          </cell>
        </row>
        <row r="63">
          <cell r="E63">
            <v>117</v>
          </cell>
        </row>
        <row r="64">
          <cell r="E64">
            <v>270</v>
          </cell>
        </row>
        <row r="65">
          <cell r="E65">
            <v>246</v>
          </cell>
        </row>
        <row r="66">
          <cell r="E66">
            <v>134</v>
          </cell>
        </row>
        <row r="67">
          <cell r="E67">
            <v>457</v>
          </cell>
        </row>
        <row r="68">
          <cell r="E68">
            <v>704</v>
          </cell>
        </row>
        <row r="69">
          <cell r="E69">
            <v>513</v>
          </cell>
        </row>
        <row r="70">
          <cell r="E70">
            <v>163</v>
          </cell>
        </row>
        <row r="71">
          <cell r="E71">
            <v>511</v>
          </cell>
        </row>
        <row r="72">
          <cell r="E72">
            <v>32</v>
          </cell>
        </row>
        <row r="73">
          <cell r="E73">
            <v>637</v>
          </cell>
        </row>
        <row r="74">
          <cell r="E74">
            <v>478</v>
          </cell>
        </row>
        <row r="75">
          <cell r="E75">
            <v>375</v>
          </cell>
        </row>
        <row r="76">
          <cell r="E76">
            <v>904</v>
          </cell>
        </row>
        <row r="77">
          <cell r="E77">
            <v>106</v>
          </cell>
        </row>
        <row r="78">
          <cell r="E78">
            <v>241</v>
          </cell>
        </row>
        <row r="79">
          <cell r="E79">
            <v>359</v>
          </cell>
        </row>
        <row r="80">
          <cell r="E80">
            <v>946</v>
          </cell>
        </row>
        <row r="81">
          <cell r="E81">
            <v>198</v>
          </cell>
        </row>
        <row r="82">
          <cell r="E82">
            <v>872</v>
          </cell>
        </row>
        <row r="83">
          <cell r="E83">
            <v>774</v>
          </cell>
        </row>
        <row r="84">
          <cell r="E84">
            <v>336</v>
          </cell>
        </row>
        <row r="85">
          <cell r="E85">
            <v>663</v>
          </cell>
        </row>
        <row r="86">
          <cell r="E86">
            <v>618</v>
          </cell>
        </row>
        <row r="87">
          <cell r="E87">
            <v>25</v>
          </cell>
        </row>
        <row r="88">
          <cell r="E88">
            <v>223</v>
          </cell>
        </row>
        <row r="89">
          <cell r="E89">
            <v>79</v>
          </cell>
        </row>
        <row r="90">
          <cell r="E90">
            <v>737</v>
          </cell>
        </row>
        <row r="91">
          <cell r="E91">
            <v>134</v>
          </cell>
        </row>
        <row r="92">
          <cell r="E92">
            <v>320</v>
          </cell>
        </row>
        <row r="93">
          <cell r="E93">
            <v>916</v>
          </cell>
        </row>
        <row r="94">
          <cell r="E94">
            <v>276</v>
          </cell>
        </row>
        <row r="95">
          <cell r="E95">
            <v>114</v>
          </cell>
        </row>
        <row r="96">
          <cell r="E96">
            <v>987</v>
          </cell>
        </row>
        <row r="97">
          <cell r="E97">
            <v>672</v>
          </cell>
        </row>
        <row r="98">
          <cell r="E98">
            <v>324</v>
          </cell>
        </row>
        <row r="99">
          <cell r="E99">
            <v>62</v>
          </cell>
        </row>
        <row r="100">
          <cell r="E100">
            <v>913</v>
          </cell>
        </row>
        <row r="101">
          <cell r="E101">
            <v>627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1.493213194444" createdVersion="8" refreshedVersion="8" minRefreshableVersion="3" recordCount="100" xr:uid="{373652C5-6F9A-4644-AEA4-F23D3D197995}">
  <cacheSource type="worksheet">
    <worksheetSource ref="A1:X101" sheet="Supply chain dataset"/>
  </cacheSource>
  <cacheFields count="24">
    <cacheField name="Product type" numFmtId="0">
      <sharedItems count="3">
        <s v="haircare"/>
        <s v="skincare"/>
        <s v="cosmetics"/>
      </sharedItems>
    </cacheField>
    <cacheField name="SKU" numFmtId="0">
      <sharedItems/>
    </cacheField>
    <cacheField name="Price" numFmtId="0">
      <sharedItems containsSemiMixedTypes="0" containsString="0" containsNumber="1" minValue="1.699976014" maxValue="99.171328639999999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0">
      <sharedItems containsSemiMixedTypes="0" containsString="0" containsNumber="1" minValue="1061.6185230000001" maxValue="9866.4654580000006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0">
      <sharedItems containsSemiMixedTypes="0" containsString="0" containsNumber="1" minValue="1.0134865660000001" maxValue="9.9298162449999996"/>
    </cacheField>
    <cacheField name="Supplier name" numFmtId="0">
      <sharedItems count="5">
        <s v="Supplier 3"/>
        <s v="Supplier 1"/>
        <s v="Supplier 5"/>
        <s v="Supplier 4"/>
        <s v="Supplier 2"/>
      </sharedItems>
    </cacheField>
    <cacheField name="Location" numFmtId="0">
      <sharedItems/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0">
      <sharedItems containsSemiMixedTypes="0" containsString="0" containsNumber="1" minValue="1.08506857" maxValue="99.466108599999998"/>
    </cacheField>
    <cacheField name="Inspection results" numFmtId="0">
      <sharedItems/>
    </cacheField>
    <cacheField name="Defect rates" numFmtId="0">
      <sharedItems containsSemiMixedTypes="0" containsString="0" containsNumber="1" minValue="1.8607568000000001E-2" maxValue="4.9392552890000001"/>
    </cacheField>
    <cacheField name="Transportation modes" numFmtId="0">
      <sharedItems/>
    </cacheField>
    <cacheField name="Routes" numFmtId="0">
      <sharedItems/>
    </cacheField>
    <cacheField name="Costs" numFmtId="0">
      <sharedItems containsSemiMixedTypes="0" containsString="0" containsNumber="1" minValue="103.916248" maxValue="997.4134500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KU0"/>
    <n v="69.808005539999996"/>
    <n v="55"/>
    <n v="802"/>
    <n v="8661.9967919999999"/>
    <s v="Non-binary"/>
    <n v="58"/>
    <n v="7"/>
    <n v="96"/>
    <n v="4"/>
    <s v="Carrier B"/>
    <n v="2.9565721389999999"/>
    <x v="0"/>
    <s v="Mumbai"/>
    <n v="29"/>
    <n v="215"/>
    <n v="29"/>
    <n v="46.27987924"/>
    <s v="Pending"/>
    <n v="0.226410361"/>
    <s v="Road"/>
    <s v="Route B"/>
    <n v="187.75207549999999"/>
  </r>
  <r>
    <x v="1"/>
    <s v="SKU1"/>
    <n v="14.843523279999999"/>
    <n v="95"/>
    <n v="736"/>
    <n v="7460.9000649999998"/>
    <s v="Female"/>
    <n v="53"/>
    <n v="30"/>
    <n v="37"/>
    <n v="2"/>
    <s v="Carrier A"/>
    <n v="9.7165747709999994"/>
    <x v="0"/>
    <s v="Mumbai"/>
    <n v="23"/>
    <n v="517"/>
    <n v="30"/>
    <n v="33.616768950000001"/>
    <s v="Pending"/>
    <n v="4.8540680260000002"/>
    <s v="Road"/>
    <s v="Route B"/>
    <n v="503.06557909999998"/>
  </r>
  <r>
    <x v="0"/>
    <s v="SKU2"/>
    <n v="11.31968329"/>
    <n v="34"/>
    <n v="8"/>
    <n v="9577.7496260000007"/>
    <s v="Unknown"/>
    <n v="1"/>
    <n v="10"/>
    <n v="88"/>
    <n v="2"/>
    <s v="Carrier B"/>
    <n v="8.0544792619999992"/>
    <x v="1"/>
    <s v="Mumbai"/>
    <n v="12"/>
    <n v="971"/>
    <n v="27"/>
    <n v="30.688019350000001"/>
    <s v="Pending"/>
    <n v="4.5805926189999999"/>
    <s v="Air"/>
    <s v="Route C"/>
    <n v="141.9202818"/>
  </r>
  <r>
    <x v="1"/>
    <s v="SKU3"/>
    <n v="61.163343019999999"/>
    <n v="68"/>
    <n v="83"/>
    <n v="7766.8364259999998"/>
    <s v="Non-binary"/>
    <n v="23"/>
    <n v="13"/>
    <n v="59"/>
    <n v="6"/>
    <s v="Carrier C"/>
    <n v="1.729568564"/>
    <x v="2"/>
    <s v="Kolkata"/>
    <n v="24"/>
    <n v="937"/>
    <n v="18"/>
    <n v="35.624741399999998"/>
    <s v="Fail"/>
    <n v="4.7466486210000003"/>
    <s v="Rail"/>
    <s v="Route A"/>
    <n v="254.7761592"/>
  </r>
  <r>
    <x v="1"/>
    <s v="SKU4"/>
    <n v="4.8054960360000001"/>
    <n v="26"/>
    <n v="871"/>
    <n v="2686.5051520000002"/>
    <s v="Non-binary"/>
    <n v="5"/>
    <n v="3"/>
    <n v="56"/>
    <n v="8"/>
    <s v="Carrier A"/>
    <n v="3.8905479160000001"/>
    <x v="1"/>
    <s v="Delhi"/>
    <n v="5"/>
    <n v="414"/>
    <n v="3"/>
    <n v="92.065160599999999"/>
    <s v="Fail"/>
    <n v="3.1455795229999999"/>
    <s v="Air"/>
    <s v="Route A"/>
    <n v="923.44063170000004"/>
  </r>
  <r>
    <x v="0"/>
    <s v="SKU5"/>
    <n v="1.699976014"/>
    <n v="87"/>
    <n v="147"/>
    <n v="2828.3487460000001"/>
    <s v="Non-binary"/>
    <n v="90"/>
    <n v="27"/>
    <n v="66"/>
    <n v="3"/>
    <s v="Carrier B"/>
    <n v="4.4440988639999999"/>
    <x v="3"/>
    <s v="Bangalore"/>
    <n v="10"/>
    <n v="104"/>
    <n v="17"/>
    <n v="56.766475560000003"/>
    <s v="Fail"/>
    <n v="2.779193512"/>
    <s v="Road"/>
    <s v="Route A"/>
    <n v="235.4612367"/>
  </r>
  <r>
    <x v="1"/>
    <s v="SKU6"/>
    <n v="4.078332863"/>
    <n v="48"/>
    <n v="65"/>
    <n v="7823.4765600000001"/>
    <s v="Male"/>
    <n v="11"/>
    <n v="15"/>
    <n v="58"/>
    <n v="8"/>
    <s v="Carrier C"/>
    <n v="3.8807633030000002"/>
    <x v="0"/>
    <s v="Kolkata"/>
    <n v="14"/>
    <n v="314"/>
    <n v="24"/>
    <n v="1.08506857"/>
    <s v="Pending"/>
    <n v="1.0009106189999999"/>
    <s v="Sea"/>
    <s v="Route A"/>
    <n v="134.36909689999999"/>
  </r>
  <r>
    <x v="2"/>
    <s v="SKU7"/>
    <n v="42.958384379999998"/>
    <n v="59"/>
    <n v="426"/>
    <n v="8496.1038129999997"/>
    <s v="Female"/>
    <n v="93"/>
    <n v="17"/>
    <n v="11"/>
    <n v="1"/>
    <s v="Carrier B"/>
    <n v="2.3483387840000001"/>
    <x v="3"/>
    <s v="Bangalore"/>
    <n v="22"/>
    <n v="564"/>
    <n v="1"/>
    <n v="99.466108599999998"/>
    <s v="Fail"/>
    <n v="0.39817718699999999"/>
    <s v="Road"/>
    <s v="Route C"/>
    <n v="802.0563118"/>
  </r>
  <r>
    <x v="2"/>
    <s v="SKU8"/>
    <n v="68.717596749999998"/>
    <n v="78"/>
    <n v="150"/>
    <n v="7517.3632109999999"/>
    <s v="Female"/>
    <n v="5"/>
    <n v="10"/>
    <n v="15"/>
    <n v="7"/>
    <s v="Carrier C"/>
    <n v="3.4047338570000001"/>
    <x v="3"/>
    <s v="Mumbai"/>
    <n v="13"/>
    <n v="769"/>
    <n v="8"/>
    <n v="11.42302714"/>
    <s v="Pending"/>
    <n v="2.7098626910000001"/>
    <s v="Sea"/>
    <s v="Route B"/>
    <n v="505.55713420000001"/>
  </r>
  <r>
    <x v="1"/>
    <s v="SKU9"/>
    <n v="64.015732940000007"/>
    <n v="35"/>
    <n v="980"/>
    <n v="4971.1459880000002"/>
    <s v="Unknown"/>
    <n v="14"/>
    <n v="27"/>
    <n v="83"/>
    <n v="1"/>
    <s v="Carrier A"/>
    <n v="7.166645291"/>
    <x v="4"/>
    <s v="Chennai"/>
    <n v="29"/>
    <n v="963"/>
    <n v="23"/>
    <n v="47.957601629999999"/>
    <s v="Pending"/>
    <n v="3.8446144790000001"/>
    <s v="Rail"/>
    <s v="Route B"/>
    <n v="995.9294615"/>
  </r>
  <r>
    <x v="1"/>
    <s v="SKU10"/>
    <n v="15.70779568"/>
    <n v="11"/>
    <n v="996"/>
    <n v="2330.9658020000002"/>
    <s v="Non-binary"/>
    <n v="51"/>
    <n v="13"/>
    <n v="80"/>
    <n v="2"/>
    <s v="Carrier C"/>
    <n v="8.6732112109999999"/>
    <x v="2"/>
    <s v="Kolkata"/>
    <n v="18"/>
    <n v="830"/>
    <n v="5"/>
    <n v="96.527352789999995"/>
    <s v="Pass"/>
    <n v="1.7273139280000001"/>
    <s v="Road"/>
    <s v="Route B"/>
    <n v="806.10317769999995"/>
  </r>
  <r>
    <x v="1"/>
    <s v="SKU11"/>
    <n v="90.635459979999993"/>
    <n v="95"/>
    <n v="960"/>
    <n v="6099.9441159999997"/>
    <s v="Female"/>
    <n v="46"/>
    <n v="23"/>
    <n v="60"/>
    <n v="1"/>
    <s v="Carrier A"/>
    <n v="4.5239431239999996"/>
    <x v="4"/>
    <s v="Kolkata"/>
    <n v="28"/>
    <n v="362"/>
    <n v="11"/>
    <n v="27.592363089999999"/>
    <s v="Pending"/>
    <n v="2.1169820999999998E-2"/>
    <s v="Air"/>
    <s v="Route A"/>
    <n v="126.72303340000001"/>
  </r>
  <r>
    <x v="0"/>
    <s v="SKU12"/>
    <n v="71.213389079999999"/>
    <n v="41"/>
    <n v="336"/>
    <n v="2873.741446"/>
    <s v="Unknown"/>
    <n v="100"/>
    <n v="30"/>
    <n v="85"/>
    <n v="4"/>
    <s v="Carrier A"/>
    <n v="1.32527401"/>
    <x v="3"/>
    <s v="Kolkata"/>
    <n v="3"/>
    <n v="563"/>
    <n v="3"/>
    <n v="32.321286209999997"/>
    <s v="Fail"/>
    <n v="2.161253748"/>
    <s v="Road"/>
    <s v="Route B"/>
    <n v="402.96878909999998"/>
  </r>
  <r>
    <x v="1"/>
    <s v="SKU13"/>
    <n v="16.160393320000001"/>
    <n v="5"/>
    <n v="249"/>
    <n v="4052.7384160000001"/>
    <s v="Male"/>
    <n v="80"/>
    <n v="8"/>
    <n v="48"/>
    <n v="9"/>
    <s v="Carrier A"/>
    <n v="9.5372830610000001"/>
    <x v="2"/>
    <s v="Bangalore"/>
    <n v="23"/>
    <n v="173"/>
    <n v="10"/>
    <n v="97.829050109999997"/>
    <s v="Pending"/>
    <n v="1.6310742300000001"/>
    <s v="Road"/>
    <s v="Route B"/>
    <n v="547.24100520000002"/>
  </r>
  <r>
    <x v="1"/>
    <s v="SKU14"/>
    <n v="99.171328639999999"/>
    <n v="26"/>
    <n v="562"/>
    <n v="8653.5709260000003"/>
    <s v="Non-binary"/>
    <n v="54"/>
    <n v="29"/>
    <n v="78"/>
    <n v="5"/>
    <s v="Carrier B"/>
    <n v="2.039770189"/>
    <x v="1"/>
    <s v="Kolkata"/>
    <n v="25"/>
    <n v="558"/>
    <n v="14"/>
    <n v="5.7914366299999998"/>
    <s v="Pending"/>
    <n v="0.100682852"/>
    <s v="Air"/>
    <s v="Route B"/>
    <n v="929.23528999999996"/>
  </r>
  <r>
    <x v="1"/>
    <s v="SKU15"/>
    <n v="36.989244929999998"/>
    <n v="94"/>
    <n v="469"/>
    <n v="5442.0867850000004"/>
    <s v="Non-binary"/>
    <n v="9"/>
    <n v="8"/>
    <n v="69"/>
    <n v="7"/>
    <s v="Carrier B"/>
    <n v="2.4220397230000001"/>
    <x v="1"/>
    <s v="Bangalore"/>
    <n v="14"/>
    <n v="580"/>
    <n v="7"/>
    <n v="97.121281749999994"/>
    <s v="Pass"/>
    <n v="2.2644057609999999"/>
    <s v="Sea"/>
    <s v="Route B"/>
    <n v="127.8618"/>
  </r>
  <r>
    <x v="1"/>
    <s v="SKU16"/>
    <n v="7.54717211"/>
    <n v="74"/>
    <n v="280"/>
    <n v="6453.7979679999999"/>
    <s v="Female"/>
    <n v="2"/>
    <n v="5"/>
    <n v="78"/>
    <n v="1"/>
    <s v="Carrier B"/>
    <n v="4.1913245860000004"/>
    <x v="1"/>
    <s v="Bangalore"/>
    <n v="3"/>
    <n v="399"/>
    <n v="21"/>
    <n v="77.106342499999997"/>
    <s v="Pass"/>
    <n v="1.0125630889999999"/>
    <s v="Air"/>
    <s v="Route A"/>
    <n v="865.52577980000001"/>
  </r>
  <r>
    <x v="2"/>
    <s v="SKU17"/>
    <n v="81.46253437"/>
    <n v="82"/>
    <n v="126"/>
    <n v="2629.3964350000001"/>
    <s v="Female"/>
    <n v="45"/>
    <n v="17"/>
    <n v="85"/>
    <n v="9"/>
    <s v="Carrier C"/>
    <n v="3.585418958"/>
    <x v="1"/>
    <s v="Chennai"/>
    <n v="7"/>
    <n v="453"/>
    <n v="16"/>
    <n v="47.67968037"/>
    <s v="Fail"/>
    <n v="0.102020755"/>
    <s v="Air"/>
    <s v="Route C"/>
    <n v="670.93439079999996"/>
  </r>
  <r>
    <x v="0"/>
    <s v="SKU18"/>
    <n v="36.443627769999999"/>
    <n v="23"/>
    <n v="620"/>
    <n v="9364.6735050000007"/>
    <s v="Unknown"/>
    <n v="10"/>
    <n v="10"/>
    <n v="46"/>
    <n v="8"/>
    <s v="Carrier C"/>
    <n v="4.3392247140000002"/>
    <x v="4"/>
    <s v="Kolkata"/>
    <n v="18"/>
    <n v="374"/>
    <n v="17"/>
    <n v="27.107980850000001"/>
    <s v="Pending"/>
    <n v="2.231939111"/>
    <s v="Sea"/>
    <s v="Route A"/>
    <n v="593.48025870000004"/>
  </r>
  <r>
    <x v="1"/>
    <s v="SKU19"/>
    <n v="51.123870089999997"/>
    <n v="100"/>
    <n v="187"/>
    <n v="2553.4955850000001"/>
    <s v="Unknown"/>
    <n v="48"/>
    <n v="11"/>
    <n v="94"/>
    <n v="3"/>
    <s v="Carrier A"/>
    <n v="4.7426358830000002"/>
    <x v="3"/>
    <s v="Chennai"/>
    <n v="20"/>
    <n v="694"/>
    <n v="16"/>
    <n v="82.373320590000006"/>
    <s v="Fail"/>
    <n v="3.6464508649999998"/>
    <s v="Road"/>
    <s v="Route C"/>
    <n v="477.30763109999998"/>
  </r>
  <r>
    <x v="1"/>
    <s v="SKU20"/>
    <n v="96.341072440000005"/>
    <n v="22"/>
    <n v="320"/>
    <n v="8128.0276970000004"/>
    <s v="Unknown"/>
    <n v="27"/>
    <n v="12"/>
    <n v="68"/>
    <n v="6"/>
    <s v="Carrier A"/>
    <n v="8.8783346509999994"/>
    <x v="1"/>
    <s v="Chennai"/>
    <n v="29"/>
    <n v="309"/>
    <n v="6"/>
    <n v="65.686259609999993"/>
    <s v="Pass"/>
    <n v="4.2314165739999998"/>
    <s v="Air"/>
    <s v="Route B"/>
    <n v="493.87121530000002"/>
  </r>
  <r>
    <x v="2"/>
    <s v="SKU21"/>
    <n v="84.893868979999993"/>
    <n v="60"/>
    <n v="601"/>
    <n v="7087.0526959999997"/>
    <s v="Unknown"/>
    <n v="69"/>
    <n v="25"/>
    <n v="7"/>
    <n v="6"/>
    <s v="Carrier B"/>
    <n v="6.0378837689999996"/>
    <x v="2"/>
    <s v="Chennai"/>
    <n v="19"/>
    <n v="791"/>
    <n v="4"/>
    <n v="61.735728950000002"/>
    <s v="Pending"/>
    <n v="1.8607568000000001E-2"/>
    <s v="Air"/>
    <s v="Route C"/>
    <n v="523.36091469999997"/>
  </r>
  <r>
    <x v="0"/>
    <s v="SKU22"/>
    <n v="27.67978089"/>
    <n v="55"/>
    <n v="884"/>
    <n v="2390.807867"/>
    <s v="Unknown"/>
    <n v="71"/>
    <n v="1"/>
    <n v="63"/>
    <n v="10"/>
    <s v="Carrier A"/>
    <n v="9.567648921"/>
    <x v="3"/>
    <s v="Kolkata"/>
    <n v="22"/>
    <n v="780"/>
    <n v="28"/>
    <n v="50.120839609999997"/>
    <s v="Fail"/>
    <n v="2.5912754730000001"/>
    <s v="Rail"/>
    <s v="Route C"/>
    <n v="205.5719958"/>
  </r>
  <r>
    <x v="2"/>
    <s v="SKU23"/>
    <n v="4.3243411859999998"/>
    <n v="30"/>
    <n v="391"/>
    <n v="8858.3675710000007"/>
    <s v="Unknown"/>
    <n v="84"/>
    <n v="5"/>
    <n v="29"/>
    <n v="7"/>
    <s v="Carrier A"/>
    <n v="2.9248576009999998"/>
    <x v="2"/>
    <s v="Kolkata"/>
    <n v="11"/>
    <n v="568"/>
    <n v="29"/>
    <n v="98.60995724"/>
    <s v="Pending"/>
    <n v="1.3422915630000001"/>
    <s v="Rail"/>
    <s v="Route A"/>
    <n v="196.32944610000001"/>
  </r>
  <r>
    <x v="0"/>
    <s v="SKU24"/>
    <n v="4.1563083589999996"/>
    <n v="32"/>
    <n v="209"/>
    <n v="9049.0778609999998"/>
    <s v="Male"/>
    <n v="4"/>
    <n v="26"/>
    <n v="2"/>
    <n v="8"/>
    <s v="Carrier C"/>
    <n v="9.7412916890000005"/>
    <x v="4"/>
    <s v="Bangalore"/>
    <n v="28"/>
    <n v="447"/>
    <n v="3"/>
    <n v="40.382359700000002"/>
    <s v="Pending"/>
    <n v="3.6913102929999999"/>
    <s v="Air"/>
    <s v="Route A"/>
    <n v="758.72477260000005"/>
  </r>
  <r>
    <x v="0"/>
    <s v="SKU25"/>
    <n v="39.629343990000002"/>
    <n v="73"/>
    <n v="142"/>
    <n v="2174.7770540000001"/>
    <s v="Male"/>
    <n v="82"/>
    <n v="11"/>
    <n v="52"/>
    <n v="3"/>
    <s v="Carrier C"/>
    <n v="2.2310736809999998"/>
    <x v="3"/>
    <s v="Kolkata"/>
    <n v="19"/>
    <n v="934"/>
    <n v="23"/>
    <n v="78.280383119999996"/>
    <s v="Pending"/>
    <n v="3.7972312170000002"/>
    <s v="Road"/>
    <s v="Route B"/>
    <n v="458.53594570000001"/>
  </r>
  <r>
    <x v="0"/>
    <s v="SKU26"/>
    <n v="97.446946620000006"/>
    <n v="9"/>
    <n v="353"/>
    <n v="3716.4933259999998"/>
    <s v="Male"/>
    <n v="59"/>
    <n v="16"/>
    <n v="48"/>
    <n v="4"/>
    <s v="Carrier B"/>
    <n v="6.5075486209999998"/>
    <x v="4"/>
    <s v="Bangalore"/>
    <n v="26"/>
    <n v="171"/>
    <n v="4"/>
    <n v="15.972229759999999"/>
    <s v="Pass"/>
    <n v="2.1193197370000001"/>
    <s v="Rail"/>
    <s v="Route A"/>
    <n v="617.8669165"/>
  </r>
  <r>
    <x v="2"/>
    <s v="SKU27"/>
    <n v="92.557360810000006"/>
    <n v="42"/>
    <n v="352"/>
    <n v="2686.4572240000002"/>
    <s v="Unknown"/>
    <n v="47"/>
    <n v="9"/>
    <n v="62"/>
    <n v="8"/>
    <s v="Carrier C"/>
    <n v="7.4067509530000004"/>
    <x v="2"/>
    <s v="Mumbai"/>
    <n v="25"/>
    <n v="291"/>
    <n v="4"/>
    <n v="10.528245070000001"/>
    <s v="Fail"/>
    <n v="2.8646678379999999"/>
    <s v="Sea"/>
    <s v="Route B"/>
    <n v="762.45918219999999"/>
  </r>
  <r>
    <x v="2"/>
    <s v="SKU28"/>
    <n v="2.3972747060000001"/>
    <n v="12"/>
    <n v="394"/>
    <n v="6117.3246150000004"/>
    <s v="Female"/>
    <n v="48"/>
    <n v="15"/>
    <n v="24"/>
    <n v="4"/>
    <s v="Carrier B"/>
    <n v="9.8981405079999991"/>
    <x v="1"/>
    <s v="Mumbai"/>
    <n v="13"/>
    <n v="171"/>
    <n v="7"/>
    <n v="59.429381810000002"/>
    <s v="Fail"/>
    <n v="0.81575707900000005"/>
    <s v="Air"/>
    <s v="Route A"/>
    <n v="123.4370275"/>
  </r>
  <r>
    <x v="2"/>
    <s v="SKU29"/>
    <n v="63.44755919"/>
    <n v="3"/>
    <n v="253"/>
    <n v="8318.9031950000008"/>
    <s v="Female"/>
    <n v="45"/>
    <n v="5"/>
    <n v="67"/>
    <n v="7"/>
    <s v="Carrier B"/>
    <n v="8.1009731449999993"/>
    <x v="1"/>
    <s v="Kolkata"/>
    <n v="16"/>
    <n v="329"/>
    <n v="7"/>
    <n v="39.292875590000001"/>
    <s v="Pass"/>
    <n v="3.8780989369999999"/>
    <s v="Road"/>
    <s v="Route B"/>
    <n v="764.93537590000005"/>
  </r>
  <r>
    <x v="0"/>
    <s v="SKU30"/>
    <n v="8.0228592110000001"/>
    <n v="10"/>
    <n v="327"/>
    <n v="2766.3423670000002"/>
    <s v="Male"/>
    <n v="60"/>
    <n v="26"/>
    <n v="35"/>
    <n v="7"/>
    <s v="Carrier B"/>
    <n v="8.9545283149999992"/>
    <x v="3"/>
    <s v="Kolkata"/>
    <n v="27"/>
    <n v="806"/>
    <n v="30"/>
    <n v="51.634893400000003"/>
    <s v="Pending"/>
    <n v="0.96539470500000002"/>
    <s v="Road"/>
    <s v="Route C"/>
    <n v="880.08098819999998"/>
  </r>
  <r>
    <x v="1"/>
    <s v="SKU31"/>
    <n v="50.847393050000001"/>
    <n v="28"/>
    <n v="168"/>
    <n v="9655.1351030000005"/>
    <s v="Male"/>
    <n v="6"/>
    <n v="17"/>
    <n v="44"/>
    <n v="4"/>
    <s v="Carrier B"/>
    <n v="2.6796609650000001"/>
    <x v="0"/>
    <s v="Chennai"/>
    <n v="24"/>
    <n v="461"/>
    <n v="8"/>
    <n v="60.251145659999999"/>
    <s v="Pending"/>
    <n v="2.989000007"/>
    <s v="Rail"/>
    <s v="Route C"/>
    <n v="609.37920659999997"/>
  </r>
  <r>
    <x v="1"/>
    <s v="SKU32"/>
    <n v="79.209936020000001"/>
    <n v="43"/>
    <n v="781"/>
    <n v="9571.5504870000004"/>
    <s v="Unknown"/>
    <n v="89"/>
    <n v="13"/>
    <n v="64"/>
    <n v="4"/>
    <s v="Carrier C"/>
    <n v="6.5991049009999996"/>
    <x v="0"/>
    <s v="Kolkata"/>
    <n v="30"/>
    <n v="737"/>
    <n v="7"/>
    <n v="29.692467149999999"/>
    <s v="Pass"/>
    <n v="1.946036119"/>
    <s v="Road"/>
    <s v="Route A"/>
    <n v="761.17390950000004"/>
  </r>
  <r>
    <x v="2"/>
    <s v="SKU33"/>
    <n v="64.795434999999998"/>
    <n v="63"/>
    <n v="616"/>
    <n v="5149.9983499999998"/>
    <s v="Non-binary"/>
    <n v="4"/>
    <n v="17"/>
    <n v="95"/>
    <n v="9"/>
    <s v="Carrier C"/>
    <n v="4.858270503"/>
    <x v="2"/>
    <s v="Chennai"/>
    <n v="1"/>
    <n v="251"/>
    <n v="23"/>
    <n v="23.85342751"/>
    <s v="Fail"/>
    <n v="3.5410460119999998"/>
    <s v="Sea"/>
    <s v="Route A"/>
    <n v="371.25529549999999"/>
  </r>
  <r>
    <x v="1"/>
    <s v="SKU34"/>
    <n v="37.467592330000002"/>
    <n v="96"/>
    <n v="602"/>
    <n v="9061.7108960000005"/>
    <s v="Unknown"/>
    <n v="1"/>
    <n v="26"/>
    <n v="21"/>
    <n v="7"/>
    <s v="Carrier A"/>
    <n v="1.019487571"/>
    <x v="1"/>
    <s v="Chennai"/>
    <n v="4"/>
    <n v="452"/>
    <n v="10"/>
    <n v="10.754272820000001"/>
    <s v="Pass"/>
    <n v="0.64660455900000002"/>
    <s v="Road"/>
    <s v="Route B"/>
    <n v="510.35800039999998"/>
  </r>
  <r>
    <x v="2"/>
    <s v="SKU35"/>
    <n v="84.957786819999995"/>
    <n v="11"/>
    <n v="449"/>
    <n v="6541.3293450000001"/>
    <s v="Female"/>
    <n v="42"/>
    <n v="27"/>
    <n v="85"/>
    <n v="8"/>
    <s v="Carrier C"/>
    <n v="5.2881899900000002"/>
    <x v="1"/>
    <s v="Delhi"/>
    <n v="3"/>
    <n v="367"/>
    <n v="2"/>
    <n v="58.004787039999997"/>
    <s v="Pass"/>
    <n v="0.54115409800000003"/>
    <s v="Sea"/>
    <s v="Route C"/>
    <n v="553.42047119999995"/>
  </r>
  <r>
    <x v="1"/>
    <s v="SKU36"/>
    <n v="9.8130025790000008"/>
    <n v="34"/>
    <n v="963"/>
    <n v="7573.4024579999996"/>
    <s v="Female"/>
    <n v="18"/>
    <n v="23"/>
    <n v="28"/>
    <n v="3"/>
    <s v="Carrier B"/>
    <n v="2.1079512669999998"/>
    <x v="4"/>
    <s v="Delhi"/>
    <n v="26"/>
    <n v="671"/>
    <n v="19"/>
    <n v="45.531364240000002"/>
    <s v="Fail"/>
    <n v="3.8055333789999999"/>
    <s v="Air"/>
    <s v="Route C"/>
    <n v="403.80897420000002"/>
  </r>
  <r>
    <x v="1"/>
    <s v="SKU37"/>
    <n v="23.39984475"/>
    <n v="5"/>
    <n v="963"/>
    <n v="2438.3399300000001"/>
    <s v="Female"/>
    <n v="25"/>
    <n v="8"/>
    <n v="21"/>
    <n v="9"/>
    <s v="Carrier A"/>
    <n v="1.5326552739999999"/>
    <x v="0"/>
    <s v="Kolkata"/>
    <n v="24"/>
    <n v="867"/>
    <n v="15"/>
    <n v="34.343277469999997"/>
    <s v="Pending"/>
    <n v="2.6102880850000001"/>
    <s v="Sea"/>
    <s v="Route A"/>
    <n v="183.93296799999999"/>
  </r>
  <r>
    <x v="2"/>
    <s v="SKU38"/>
    <n v="52.075930679999999"/>
    <n v="75"/>
    <n v="705"/>
    <n v="9692.3180400000001"/>
    <s v="Non-binary"/>
    <n v="69"/>
    <n v="1"/>
    <n v="88"/>
    <n v="5"/>
    <s v="Carrier B"/>
    <n v="9.2359314369999996"/>
    <x v="2"/>
    <s v="Mumbai"/>
    <n v="10"/>
    <n v="841"/>
    <n v="12"/>
    <n v="5.9306936459999999"/>
    <s v="Pending"/>
    <n v="0.61332689900000004"/>
    <s v="Air"/>
    <s v="Route B"/>
    <n v="339.67286990000002"/>
  </r>
  <r>
    <x v="1"/>
    <s v="SKU39"/>
    <n v="19.12747727"/>
    <n v="26"/>
    <n v="176"/>
    <n v="1912.4656629999999"/>
    <s v="Female"/>
    <n v="78"/>
    <n v="29"/>
    <n v="34"/>
    <n v="3"/>
    <s v="Carrier A"/>
    <n v="5.562503779"/>
    <x v="4"/>
    <s v="Kolkata"/>
    <n v="30"/>
    <n v="791"/>
    <n v="6"/>
    <n v="9.0058074290000008"/>
    <s v="Fail"/>
    <n v="1.451972204"/>
    <s v="Air"/>
    <s v="Route B"/>
    <n v="653.67299460000004"/>
  </r>
  <r>
    <x v="1"/>
    <s v="SKU40"/>
    <n v="80.541424169999999"/>
    <n v="97"/>
    <n v="933"/>
    <n v="5724.9593500000001"/>
    <s v="Female"/>
    <n v="90"/>
    <n v="20"/>
    <n v="39"/>
    <n v="8"/>
    <s v="Carrier C"/>
    <n v="7.2295951399999998"/>
    <x v="1"/>
    <s v="Kolkata"/>
    <n v="18"/>
    <n v="793"/>
    <n v="1"/>
    <n v="88.179407100000006"/>
    <s v="Pending"/>
    <n v="4.2132694309999996"/>
    <s v="Road"/>
    <s v="Route A"/>
    <n v="529.80872399999998"/>
  </r>
  <r>
    <x v="1"/>
    <s v="SKU41"/>
    <n v="99.113291619999998"/>
    <n v="35"/>
    <n v="556"/>
    <n v="5521.2052590000003"/>
    <s v="Female"/>
    <n v="64"/>
    <n v="19"/>
    <n v="38"/>
    <n v="8"/>
    <s v="Carrier B"/>
    <n v="5.7732637440000003"/>
    <x v="3"/>
    <s v="Chennai"/>
    <n v="18"/>
    <n v="892"/>
    <n v="7"/>
    <n v="95.332064549999998"/>
    <s v="Fail"/>
    <n v="4.5302262000000003E-2"/>
    <s v="Sea"/>
    <s v="Route A"/>
    <n v="275.5243711"/>
  </r>
  <r>
    <x v="1"/>
    <s v="SKU42"/>
    <n v="46.529167610000002"/>
    <n v="98"/>
    <n v="155"/>
    <n v="1839.609426"/>
    <s v="Female"/>
    <n v="22"/>
    <n v="27"/>
    <n v="57"/>
    <n v="4"/>
    <s v="Carrier C"/>
    <n v="7.5262483270000002"/>
    <x v="2"/>
    <s v="Bangalore"/>
    <n v="26"/>
    <n v="179"/>
    <n v="7"/>
    <n v="96.422820639999998"/>
    <s v="Fail"/>
    <n v="4.9392552890000001"/>
    <s v="Road"/>
    <s v="Route A"/>
    <n v="635.65712050000002"/>
  </r>
  <r>
    <x v="0"/>
    <s v="SKU43"/>
    <n v="11.743271780000001"/>
    <n v="6"/>
    <n v="598"/>
    <n v="5737.4255990000001"/>
    <s v="Unknown"/>
    <n v="36"/>
    <n v="29"/>
    <n v="85"/>
    <n v="9"/>
    <s v="Carrier B"/>
    <n v="3.6940212680000002"/>
    <x v="2"/>
    <s v="Mumbai"/>
    <n v="1"/>
    <n v="206"/>
    <n v="23"/>
    <n v="26.277365960000001"/>
    <s v="Pending"/>
    <n v="0.37230476800000001"/>
    <s v="Air"/>
    <s v="Route A"/>
    <n v="716.04411979999998"/>
  </r>
  <r>
    <x v="2"/>
    <s v="SKU44"/>
    <n v="51.355790910000003"/>
    <n v="34"/>
    <n v="919"/>
    <n v="7152.2860490000003"/>
    <s v="Female"/>
    <n v="13"/>
    <n v="19"/>
    <n v="72"/>
    <n v="6"/>
    <s v="Carrier C"/>
    <n v="7.5774496569999998"/>
    <x v="4"/>
    <s v="Delhi"/>
    <n v="7"/>
    <n v="834"/>
    <n v="18"/>
    <n v="22.554106619999999"/>
    <s v="Fail"/>
    <n v="2.96262632"/>
    <s v="Rail"/>
    <s v="Route A"/>
    <n v="610.4532696"/>
  </r>
  <r>
    <x v="0"/>
    <s v="SKU45"/>
    <n v="33.784138030000001"/>
    <n v="1"/>
    <n v="24"/>
    <n v="5267.9568079999999"/>
    <s v="Male"/>
    <n v="93"/>
    <n v="7"/>
    <n v="52"/>
    <n v="6"/>
    <s v="Carrier B"/>
    <n v="5.2151550090000001"/>
    <x v="4"/>
    <s v="Chennai"/>
    <n v="25"/>
    <n v="794"/>
    <n v="25"/>
    <n v="66.312544439999996"/>
    <s v="Pass"/>
    <n v="3.2196046119999999"/>
    <s v="Rail"/>
    <s v="Route A"/>
    <n v="495.30569700000001"/>
  </r>
  <r>
    <x v="0"/>
    <s v="SKU46"/>
    <n v="27.082207199999999"/>
    <n v="75"/>
    <n v="859"/>
    <n v="2556.7673610000002"/>
    <s v="Non-binary"/>
    <n v="92"/>
    <n v="29"/>
    <n v="6"/>
    <n v="8"/>
    <s v="Carrier B"/>
    <n v="4.0709558369999996"/>
    <x v="0"/>
    <s v="Chennai"/>
    <n v="18"/>
    <n v="870"/>
    <n v="23"/>
    <n v="77.322353210000003"/>
    <s v="Pending"/>
    <n v="3.6486105929999999"/>
    <s v="Road"/>
    <s v="Route B"/>
    <n v="380.43593709999999"/>
  </r>
  <r>
    <x v="1"/>
    <s v="SKU47"/>
    <n v="95.712135880000005"/>
    <n v="93"/>
    <n v="910"/>
    <n v="7089.4742500000002"/>
    <s v="Male"/>
    <n v="4"/>
    <n v="15"/>
    <n v="51"/>
    <n v="9"/>
    <s v="Carrier B"/>
    <n v="8.9787507560000002"/>
    <x v="1"/>
    <s v="Kolkata"/>
    <n v="10"/>
    <n v="964"/>
    <n v="20"/>
    <n v="19.712992910000001"/>
    <s v="Pending"/>
    <n v="0.38057358699999999"/>
    <s v="Rail"/>
    <s v="Route A"/>
    <n v="581.60235509999995"/>
  </r>
  <r>
    <x v="0"/>
    <s v="SKU48"/>
    <n v="76.035544430000002"/>
    <n v="28"/>
    <n v="29"/>
    <n v="7397.0710049999998"/>
    <s v="Non-binary"/>
    <n v="30"/>
    <n v="16"/>
    <n v="9"/>
    <n v="3"/>
    <s v="Carrier C"/>
    <n v="7.0958331570000004"/>
    <x v="4"/>
    <s v="Mumbai"/>
    <n v="9"/>
    <n v="109"/>
    <n v="18"/>
    <n v="23.12636358"/>
    <s v="Fail"/>
    <n v="1.698112541"/>
    <s v="Rail"/>
    <s v="Route B"/>
    <n v="768.65191400000003"/>
  </r>
  <r>
    <x v="2"/>
    <s v="SKU49"/>
    <n v="78.897913209999999"/>
    <n v="19"/>
    <n v="99"/>
    <n v="8001.6132070000003"/>
    <s v="Unknown"/>
    <n v="97"/>
    <n v="24"/>
    <n v="9"/>
    <n v="6"/>
    <s v="Carrier C"/>
    <n v="2.5056210330000002"/>
    <x v="2"/>
    <s v="Delhi"/>
    <n v="28"/>
    <n v="177"/>
    <n v="28"/>
    <n v="14.14781544"/>
    <s v="Pass"/>
    <n v="2.8258139849999999"/>
    <s v="Rail"/>
    <s v="Route A"/>
    <n v="336.89016850000002"/>
  </r>
  <r>
    <x v="2"/>
    <s v="SKU50"/>
    <n v="14.20348426"/>
    <n v="91"/>
    <n v="633"/>
    <n v="5910.8853900000004"/>
    <s v="Female"/>
    <n v="31"/>
    <n v="23"/>
    <n v="82"/>
    <n v="10"/>
    <s v="Carrier A"/>
    <n v="6.2478609150000004"/>
    <x v="4"/>
    <s v="Delhi"/>
    <n v="20"/>
    <n v="306"/>
    <n v="21"/>
    <n v="45.178757920000002"/>
    <s v="Fail"/>
    <n v="4.7548008050000004"/>
    <s v="Rail"/>
    <s v="Route B"/>
    <n v="496.24865030000001"/>
  </r>
  <r>
    <x v="0"/>
    <s v="SKU51"/>
    <n v="26.700760970000001"/>
    <n v="61"/>
    <n v="154"/>
    <n v="9866.4654580000006"/>
    <s v="Male"/>
    <n v="100"/>
    <n v="4"/>
    <n v="52"/>
    <n v="1"/>
    <s v="Carrier A"/>
    <n v="4.7830005580000003"/>
    <x v="2"/>
    <s v="Bangalore"/>
    <n v="18"/>
    <n v="673"/>
    <n v="28"/>
    <n v="14.190328340000001"/>
    <s v="Pending"/>
    <n v="1.772951172"/>
    <s v="Road"/>
    <s v="Route A"/>
    <n v="694.98231759999999"/>
  </r>
  <r>
    <x v="1"/>
    <s v="SKU52"/>
    <n v="98.03182966"/>
    <n v="1"/>
    <n v="820"/>
    <n v="9435.7626089999994"/>
    <s v="Male"/>
    <n v="64"/>
    <n v="11"/>
    <n v="11"/>
    <n v="1"/>
    <s v="Carrier B"/>
    <n v="8.6310521799999993"/>
    <x v="1"/>
    <s v="Mumbai"/>
    <n v="10"/>
    <n v="727"/>
    <n v="27"/>
    <n v="9.1668491490000008"/>
    <s v="Pending"/>
    <n v="2.1224716190000001"/>
    <s v="Air"/>
    <s v="Route C"/>
    <n v="602.89849879999997"/>
  </r>
  <r>
    <x v="1"/>
    <s v="SKU53"/>
    <n v="30.341470709999999"/>
    <n v="93"/>
    <n v="242"/>
    <n v="8232.3348289999994"/>
    <s v="Male"/>
    <n v="96"/>
    <n v="25"/>
    <n v="54"/>
    <n v="3"/>
    <s v="Carrier B"/>
    <n v="1.0134865660000001"/>
    <x v="1"/>
    <s v="Delhi"/>
    <n v="1"/>
    <n v="631"/>
    <n v="17"/>
    <n v="83.344058989999994"/>
    <s v="Pending"/>
    <n v="1.4103475759999999"/>
    <s v="Air"/>
    <s v="Route B"/>
    <n v="750.73784069999999"/>
  </r>
  <r>
    <x v="0"/>
    <s v="SKU54"/>
    <n v="31.146243160000001"/>
    <n v="11"/>
    <n v="622"/>
    <n v="6088.0214800000003"/>
    <s v="Non-binary"/>
    <n v="33"/>
    <n v="22"/>
    <n v="61"/>
    <n v="3"/>
    <s v="Carrier B"/>
    <n v="4.3051034709999998"/>
    <x v="1"/>
    <s v="Kolkata"/>
    <n v="26"/>
    <n v="497"/>
    <n v="29"/>
    <n v="30.186023380000002"/>
    <s v="Pass"/>
    <n v="2.478771976"/>
    <s v="Road"/>
    <s v="Route B"/>
    <n v="814.06999659999997"/>
  </r>
  <r>
    <x v="0"/>
    <s v="SKU55"/>
    <n v="79.855058339999999"/>
    <n v="16"/>
    <n v="701"/>
    <n v="2925.67517"/>
    <s v="Male"/>
    <n v="97"/>
    <n v="11"/>
    <n v="11"/>
    <n v="5"/>
    <s v="Carrier A"/>
    <n v="5.0143649549999996"/>
    <x v="4"/>
    <s v="Delhi"/>
    <n v="27"/>
    <n v="918"/>
    <n v="5"/>
    <n v="30.32354526"/>
    <s v="Fail"/>
    <n v="4.5489196590000001"/>
    <s v="Sea"/>
    <s v="Route B"/>
    <n v="323.01292799999999"/>
  </r>
  <r>
    <x v="1"/>
    <s v="SKU56"/>
    <n v="20.986386039999999"/>
    <n v="90"/>
    <n v="93"/>
    <n v="4767.0204839999997"/>
    <s v="Non-binary"/>
    <n v="25"/>
    <n v="23"/>
    <n v="83"/>
    <n v="5"/>
    <s v="Carrier C"/>
    <n v="1.774429714"/>
    <x v="1"/>
    <s v="Mumbai"/>
    <n v="24"/>
    <n v="826"/>
    <n v="28"/>
    <n v="12.83628457"/>
    <s v="Pass"/>
    <n v="1.173755495"/>
    <s v="Air"/>
    <s v="Route B"/>
    <n v="832.21080870000003"/>
  </r>
  <r>
    <x v="0"/>
    <s v="SKU57"/>
    <n v="49.26320535"/>
    <n v="65"/>
    <n v="227"/>
    <n v="1605.8669"/>
    <s v="Unknown"/>
    <n v="5"/>
    <n v="18"/>
    <n v="51"/>
    <n v="1"/>
    <s v="Carrier B"/>
    <n v="9.1605585349999998"/>
    <x v="4"/>
    <s v="Delhi"/>
    <n v="21"/>
    <n v="588"/>
    <n v="25"/>
    <n v="67.779622989999993"/>
    <s v="Pending"/>
    <n v="2.5111748299999999"/>
    <s v="Rail"/>
    <s v="Route A"/>
    <n v="482.19123860000002"/>
  </r>
  <r>
    <x v="1"/>
    <s v="SKU58"/>
    <n v="59.841561380000002"/>
    <n v="81"/>
    <n v="896"/>
    <n v="2021.1498099999999"/>
    <s v="Non-binary"/>
    <n v="10"/>
    <n v="5"/>
    <n v="44"/>
    <n v="7"/>
    <s v="Carrier A"/>
    <n v="4.9384385650000002"/>
    <x v="0"/>
    <s v="Delhi"/>
    <n v="18"/>
    <n v="396"/>
    <n v="7"/>
    <n v="65.047415090000001"/>
    <s v="Fail"/>
    <n v="1.7303747199999999"/>
    <s v="Road"/>
    <s v="Route B"/>
    <n v="110.3643352"/>
  </r>
  <r>
    <x v="2"/>
    <s v="SKU59"/>
    <n v="63.828398350000001"/>
    <n v="30"/>
    <n v="484"/>
    <n v="1061.6185230000001"/>
    <s v="Non-binary"/>
    <n v="100"/>
    <n v="16"/>
    <n v="26"/>
    <n v="7"/>
    <s v="Carrier B"/>
    <n v="7.2937225970000004"/>
    <x v="1"/>
    <s v="Kolkata"/>
    <n v="11"/>
    <n v="176"/>
    <n v="4"/>
    <n v="1.900762244"/>
    <s v="Fail"/>
    <n v="0.447194015"/>
    <s v="Air"/>
    <s v="Route A"/>
    <n v="312.57427360000003"/>
  </r>
  <r>
    <x v="1"/>
    <s v="SKU60"/>
    <n v="17.02802792"/>
    <n v="16"/>
    <n v="380"/>
    <n v="8864.0843499999992"/>
    <s v="Female"/>
    <n v="41"/>
    <n v="27"/>
    <n v="72"/>
    <n v="8"/>
    <s v="Carrier C"/>
    <n v="4.3813681579999999"/>
    <x v="3"/>
    <s v="Mumbai"/>
    <n v="29"/>
    <n v="929"/>
    <n v="24"/>
    <n v="87.213057820000003"/>
    <s v="Fail"/>
    <n v="2.8530906169999999"/>
    <s v="Rail"/>
    <s v="Route A"/>
    <n v="430.16909700000002"/>
  </r>
  <r>
    <x v="0"/>
    <s v="SKU61"/>
    <n v="52.028749900000001"/>
    <n v="23"/>
    <n v="117"/>
    <n v="6885.5893509999996"/>
    <s v="Unknown"/>
    <n v="32"/>
    <n v="23"/>
    <n v="36"/>
    <n v="7"/>
    <s v="Carrier C"/>
    <n v="9.0303404230000002"/>
    <x v="3"/>
    <s v="Kolkata"/>
    <n v="14"/>
    <n v="480"/>
    <n v="12"/>
    <n v="78.702393970000003"/>
    <s v="Fail"/>
    <n v="4.3674705380000001"/>
    <s v="Air"/>
    <s v="Route A"/>
    <n v="164.3665282"/>
  </r>
  <r>
    <x v="2"/>
    <s v="SKU62"/>
    <n v="72.796353960000005"/>
    <n v="89"/>
    <n v="270"/>
    <n v="3899.746834"/>
    <s v="Unknown"/>
    <n v="86"/>
    <n v="2"/>
    <n v="40"/>
    <n v="7"/>
    <s v="Carrier C"/>
    <n v="7.291701389"/>
    <x v="4"/>
    <s v="Mumbai"/>
    <n v="13"/>
    <n v="751"/>
    <n v="14"/>
    <n v="21.048642730000001"/>
    <s v="Pass"/>
    <n v="1.8740014039999999"/>
    <s v="Sea"/>
    <s v="Route C"/>
    <n v="320.84651580000002"/>
  </r>
  <r>
    <x v="1"/>
    <s v="SKU63"/>
    <n v="13.01737679"/>
    <n v="55"/>
    <n v="246"/>
    <n v="4256.9491410000001"/>
    <s v="Non-binary"/>
    <n v="54"/>
    <n v="19"/>
    <n v="10"/>
    <n v="4"/>
    <s v="Carrier A"/>
    <n v="2.4579335279999999"/>
    <x v="0"/>
    <s v="Bangalore"/>
    <n v="18"/>
    <n v="736"/>
    <n v="10"/>
    <n v="20.075003980000002"/>
    <s v="Pending"/>
    <n v="3.6328432899999998"/>
    <s v="Sea"/>
    <s v="Route A"/>
    <n v="687.28617789999998"/>
  </r>
  <r>
    <x v="1"/>
    <s v="SKU64"/>
    <n v="89.634095610000003"/>
    <n v="11"/>
    <n v="134"/>
    <n v="8458.7308780000003"/>
    <s v="Female"/>
    <n v="73"/>
    <n v="27"/>
    <n v="75"/>
    <n v="6"/>
    <s v="Carrier C"/>
    <n v="4.5853534680000001"/>
    <x v="1"/>
    <s v="Delhi"/>
    <n v="17"/>
    <n v="328"/>
    <n v="6"/>
    <n v="8.6930424259999999"/>
    <s v="Fail"/>
    <n v="0.15948631499999999"/>
    <s v="Air"/>
    <s v="Route C"/>
    <n v="771.22508470000002"/>
  </r>
  <r>
    <x v="1"/>
    <s v="SKU65"/>
    <n v="33.69771721"/>
    <n v="72"/>
    <n v="457"/>
    <n v="8354.5796859999991"/>
    <s v="Male"/>
    <n v="57"/>
    <n v="24"/>
    <n v="54"/>
    <n v="8"/>
    <s v="Carrier C"/>
    <n v="6.5805413479999997"/>
    <x v="2"/>
    <s v="Kolkata"/>
    <n v="16"/>
    <n v="358"/>
    <n v="21"/>
    <n v="1.5972227429999999"/>
    <s v="Fail"/>
    <n v="4.9110959550000004"/>
    <s v="Rail"/>
    <s v="Route C"/>
    <n v="555.85910369999999"/>
  </r>
  <r>
    <x v="1"/>
    <s v="SKU66"/>
    <n v="26.03486977"/>
    <n v="52"/>
    <n v="704"/>
    <n v="8367.7216179999996"/>
    <s v="Female"/>
    <n v="13"/>
    <n v="17"/>
    <n v="19"/>
    <n v="8"/>
    <s v="Carrier A"/>
    <n v="2.216142729"/>
    <x v="2"/>
    <s v="Kolkata"/>
    <n v="24"/>
    <n v="867"/>
    <n v="28"/>
    <n v="42.084436740000001"/>
    <s v="Fail"/>
    <n v="3.4480632880000002"/>
    <s v="Road"/>
    <s v="Route A"/>
    <n v="393.84334860000001"/>
  </r>
  <r>
    <x v="1"/>
    <s v="SKU67"/>
    <n v="87.755432350000007"/>
    <n v="16"/>
    <n v="513"/>
    <n v="9473.7980329999991"/>
    <s v="Unknown"/>
    <n v="12"/>
    <n v="9"/>
    <n v="71"/>
    <n v="9"/>
    <s v="Carrier C"/>
    <n v="9.1478115449999997"/>
    <x v="1"/>
    <s v="Mumbai"/>
    <n v="10"/>
    <n v="198"/>
    <n v="11"/>
    <n v="7.057876147"/>
    <s v="Pass"/>
    <n v="0.13195544400000001"/>
    <s v="Sea"/>
    <s v="Route C"/>
    <n v="169.27180139999999"/>
  </r>
  <r>
    <x v="0"/>
    <s v="SKU68"/>
    <n v="37.931812379999997"/>
    <n v="29"/>
    <n v="163"/>
    <n v="3550.218433"/>
    <s v="Non-binary"/>
    <n v="0"/>
    <n v="8"/>
    <n v="58"/>
    <n v="8"/>
    <s v="Carrier B"/>
    <n v="1.194251865"/>
    <x v="4"/>
    <s v="Bangalore"/>
    <n v="2"/>
    <n v="375"/>
    <n v="18"/>
    <n v="97.11358156"/>
    <s v="Fail"/>
    <n v="1.9834678720000001"/>
    <s v="Rail"/>
    <s v="Route A"/>
    <n v="299.70630310000001"/>
  </r>
  <r>
    <x v="1"/>
    <s v="SKU69"/>
    <n v="54.865528519999998"/>
    <n v="62"/>
    <n v="511"/>
    <n v="1752.381087"/>
    <s v="Non-binary"/>
    <n v="95"/>
    <n v="1"/>
    <n v="27"/>
    <n v="3"/>
    <s v="Carrier B"/>
    <n v="9.7052867900000006"/>
    <x v="3"/>
    <s v="Kolkata"/>
    <n v="9"/>
    <n v="862"/>
    <n v="7"/>
    <n v="77.62776581"/>
    <s v="Pending"/>
    <n v="1.3623879889999999"/>
    <s v="Air"/>
    <s v="Route A"/>
    <n v="207.66320619999999"/>
  </r>
  <r>
    <x v="0"/>
    <s v="SKU70"/>
    <n v="47.914541819999997"/>
    <n v="90"/>
    <n v="32"/>
    <n v="7014.8879870000001"/>
    <s v="Female"/>
    <n v="10"/>
    <n v="12"/>
    <n v="22"/>
    <n v="4"/>
    <s v="Carrier B"/>
    <n v="6.3157177549999997"/>
    <x v="1"/>
    <s v="Bangalore"/>
    <n v="22"/>
    <n v="775"/>
    <n v="16"/>
    <n v="11.44078182"/>
    <s v="Pass"/>
    <n v="1.8305755990000001"/>
    <s v="Road"/>
    <s v="Route C"/>
    <n v="183.27289870000001"/>
  </r>
  <r>
    <x v="2"/>
    <s v="SKU71"/>
    <n v="6.3815331630000003"/>
    <n v="14"/>
    <n v="637"/>
    <n v="8180.3370850000001"/>
    <s v="Female"/>
    <n v="76"/>
    <n v="2"/>
    <n v="26"/>
    <n v="6"/>
    <s v="Carrier A"/>
    <n v="9.2281903169999993"/>
    <x v="4"/>
    <s v="Bangalore"/>
    <n v="2"/>
    <n v="258"/>
    <n v="10"/>
    <n v="30.661677480000002"/>
    <s v="Pending"/>
    <n v="2.078750608"/>
    <s v="Road"/>
    <s v="Route A"/>
    <n v="405.16706790000001"/>
  </r>
  <r>
    <x v="2"/>
    <s v="SKU72"/>
    <n v="90.204427519999996"/>
    <n v="88"/>
    <n v="478"/>
    <n v="2633.1219809999998"/>
    <s v="Non-binary"/>
    <n v="57"/>
    <n v="29"/>
    <n v="77"/>
    <n v="9"/>
    <s v="Carrier A"/>
    <n v="6.5996141599999998"/>
    <x v="1"/>
    <s v="Bangalore"/>
    <n v="21"/>
    <n v="152"/>
    <n v="11"/>
    <n v="55.760492900000003"/>
    <s v="Pending"/>
    <n v="3.2133296069999999"/>
    <s v="Rail"/>
    <s v="Route B"/>
    <n v="677.94456979999995"/>
  </r>
  <r>
    <x v="2"/>
    <s v="SKU73"/>
    <n v="83.851017679999998"/>
    <n v="41"/>
    <n v="375"/>
    <n v="7910.8869160000004"/>
    <s v="Male"/>
    <n v="17"/>
    <n v="25"/>
    <n v="66"/>
    <n v="5"/>
    <s v="Carrier B"/>
    <n v="1.512936837"/>
    <x v="3"/>
    <s v="Chennai"/>
    <n v="13"/>
    <n v="444"/>
    <n v="4"/>
    <n v="46.870238800000003"/>
    <s v="Fail"/>
    <n v="4.6205460650000001"/>
    <s v="Road"/>
    <s v="Route A"/>
    <n v="866.47280009999997"/>
  </r>
  <r>
    <x v="0"/>
    <s v="SKU74"/>
    <n v="3.1700114140000002"/>
    <n v="64"/>
    <n v="904"/>
    <n v="5709.9452959999999"/>
    <s v="Female"/>
    <n v="41"/>
    <n v="6"/>
    <n v="1"/>
    <n v="5"/>
    <s v="Carrier A"/>
    <n v="5.2376546499999996"/>
    <x v="3"/>
    <s v="Delhi"/>
    <n v="1"/>
    <n v="919"/>
    <n v="9"/>
    <n v="80.580852160000006"/>
    <s v="Fail"/>
    <n v="0.39661272400000003"/>
    <s v="Rail"/>
    <s v="Route A"/>
    <n v="341.55265680000002"/>
  </r>
  <r>
    <x v="1"/>
    <s v="SKU75"/>
    <n v="92.996884230000006"/>
    <n v="29"/>
    <n v="106"/>
    <n v="1889.07359"/>
    <s v="Non-binary"/>
    <n v="16"/>
    <n v="20"/>
    <n v="56"/>
    <n v="10"/>
    <s v="Carrier C"/>
    <n v="2.4738977609999999"/>
    <x v="1"/>
    <s v="Chennai"/>
    <n v="25"/>
    <n v="759"/>
    <n v="11"/>
    <n v="48.064782639999997"/>
    <s v="Pass"/>
    <n v="2.0300690889999999"/>
    <s v="Air"/>
    <s v="Route C"/>
    <n v="873.12964799999997"/>
  </r>
  <r>
    <x v="0"/>
    <s v="SKU76"/>
    <n v="69.108799550000001"/>
    <n v="23"/>
    <n v="241"/>
    <n v="5328.3759840000002"/>
    <s v="Male"/>
    <n v="38"/>
    <n v="1"/>
    <n v="22"/>
    <n v="10"/>
    <s v="Carrier A"/>
    <n v="7.0545383370000003"/>
    <x v="4"/>
    <s v="Bangalore"/>
    <n v="25"/>
    <n v="985"/>
    <n v="24"/>
    <n v="64.323597800000002"/>
    <s v="Pending"/>
    <n v="2.1800374520000001"/>
    <s v="Rail"/>
    <s v="Route A"/>
    <n v="997.41345009999998"/>
  </r>
  <r>
    <x v="0"/>
    <s v="SKU77"/>
    <n v="57.449742960000002"/>
    <n v="14"/>
    <n v="359"/>
    <n v="2483.760178"/>
    <s v="Unknown"/>
    <n v="96"/>
    <n v="28"/>
    <n v="57"/>
    <n v="4"/>
    <s v="Carrier B"/>
    <n v="6.7809466260000004"/>
    <x v="1"/>
    <s v="Kolkata"/>
    <n v="26"/>
    <n v="334"/>
    <n v="5"/>
    <n v="42.952444749999998"/>
    <s v="Pass"/>
    <n v="3.0551418180000001"/>
    <s v="Road"/>
    <s v="Route B"/>
    <n v="852.5680989"/>
  </r>
  <r>
    <x v="0"/>
    <s v="SKU78"/>
    <n v="6.3068831760000004"/>
    <n v="50"/>
    <n v="946"/>
    <n v="1292.4584179999999"/>
    <s v="Unknown"/>
    <n v="5"/>
    <n v="4"/>
    <n v="51"/>
    <n v="5"/>
    <s v="Carrier B"/>
    <n v="8.4670497709999992"/>
    <x v="2"/>
    <s v="Mumbai"/>
    <n v="25"/>
    <n v="858"/>
    <n v="21"/>
    <n v="71.126514720000003"/>
    <s v="Pending"/>
    <n v="4.0968813319999997"/>
    <s v="Sea"/>
    <s v="Route C"/>
    <n v="323.59220340000002"/>
  </r>
  <r>
    <x v="0"/>
    <s v="SKU79"/>
    <n v="57.057031219999999"/>
    <n v="56"/>
    <n v="198"/>
    <n v="7888.7232679999997"/>
    <s v="Non-binary"/>
    <n v="31"/>
    <n v="25"/>
    <n v="20"/>
    <n v="1"/>
    <s v="Carrier B"/>
    <n v="6.4963253639999996"/>
    <x v="0"/>
    <s v="Bangalore"/>
    <n v="5"/>
    <n v="228"/>
    <n v="12"/>
    <n v="57.870902919999999"/>
    <s v="Pending"/>
    <n v="0.16587162699999999"/>
    <s v="Air"/>
    <s v="Route C"/>
    <n v="351.50421929999999"/>
  </r>
  <r>
    <x v="1"/>
    <s v="SKU80"/>
    <n v="91.128318350000001"/>
    <n v="75"/>
    <n v="872"/>
    <n v="8651.6726830000007"/>
    <s v="Unknown"/>
    <n v="39"/>
    <n v="14"/>
    <n v="41"/>
    <n v="2"/>
    <s v="Carrier C"/>
    <n v="2.8331846789999999"/>
    <x v="0"/>
    <s v="Chennai"/>
    <n v="8"/>
    <n v="202"/>
    <n v="5"/>
    <n v="76.961228019999993"/>
    <s v="Fail"/>
    <n v="2.849662199"/>
    <s v="Sea"/>
    <s v="Route B"/>
    <n v="787.77985049999995"/>
  </r>
  <r>
    <x v="0"/>
    <s v="SKU81"/>
    <n v="72.819206930000007"/>
    <n v="9"/>
    <n v="774"/>
    <n v="4384.4134000000004"/>
    <s v="Unknown"/>
    <n v="48"/>
    <n v="6"/>
    <n v="8"/>
    <n v="5"/>
    <s v="Carrier B"/>
    <n v="4.0662775020000002"/>
    <x v="0"/>
    <s v="Delhi"/>
    <n v="28"/>
    <n v="698"/>
    <n v="1"/>
    <n v="19.789592939999999"/>
    <s v="Pending"/>
    <n v="2.5475471220000001"/>
    <s v="Rail"/>
    <s v="Route B"/>
    <n v="276.7783359"/>
  </r>
  <r>
    <x v="1"/>
    <s v="SKU82"/>
    <n v="17.03493074"/>
    <n v="13"/>
    <n v="336"/>
    <n v="2943.3818679999999"/>
    <s v="Unknown"/>
    <n v="42"/>
    <n v="19"/>
    <n v="72"/>
    <n v="1"/>
    <s v="Carrier A"/>
    <n v="4.7081818740000001"/>
    <x v="4"/>
    <s v="Mumbai"/>
    <n v="6"/>
    <n v="955"/>
    <n v="26"/>
    <n v="4.4652784350000001"/>
    <s v="Pending"/>
    <n v="4.1378770490000001"/>
    <s v="Road"/>
    <s v="Route C"/>
    <n v="589.97855560000005"/>
  </r>
  <r>
    <x v="0"/>
    <s v="SKU83"/>
    <n v="68.911246210000002"/>
    <n v="82"/>
    <n v="663"/>
    <n v="2411.7546320000001"/>
    <s v="Unknown"/>
    <n v="65"/>
    <n v="24"/>
    <n v="7"/>
    <n v="8"/>
    <s v="Carrier B"/>
    <n v="4.9498395779999997"/>
    <x v="1"/>
    <s v="Bangalore"/>
    <n v="20"/>
    <n v="443"/>
    <n v="5"/>
    <n v="97.730593799999994"/>
    <s v="Fail"/>
    <n v="0.77300613399999996"/>
    <s v="Road"/>
    <s v="Route A"/>
    <n v="682.9710182"/>
  </r>
  <r>
    <x v="0"/>
    <s v="SKU84"/>
    <n v="89.104367289999999"/>
    <n v="99"/>
    <n v="618"/>
    <n v="2048.2901000000002"/>
    <s v="Unknown"/>
    <n v="73"/>
    <n v="26"/>
    <n v="80"/>
    <n v="10"/>
    <s v="Carrier A"/>
    <n v="8.3816156250000002"/>
    <x v="2"/>
    <s v="Chennai"/>
    <n v="24"/>
    <n v="589"/>
    <n v="22"/>
    <n v="33.808636509999999"/>
    <s v="Pass"/>
    <n v="4.8434565770000004"/>
    <s v="Air"/>
    <s v="Route B"/>
    <n v="465.45700599999998"/>
  </r>
  <r>
    <x v="2"/>
    <s v="SKU85"/>
    <n v="76.962994420000001"/>
    <n v="83"/>
    <n v="25"/>
    <n v="8684.6130589999993"/>
    <s v="Female"/>
    <n v="15"/>
    <n v="18"/>
    <n v="66"/>
    <n v="2"/>
    <s v="Carrier C"/>
    <n v="8.2491687050000007"/>
    <x v="2"/>
    <s v="Chennai"/>
    <n v="4"/>
    <n v="211"/>
    <n v="2"/>
    <n v="69.929345519999998"/>
    <s v="Fail"/>
    <n v="1.3744289999999999"/>
    <s v="Road"/>
    <s v="Route B"/>
    <n v="842.68682999999999"/>
  </r>
  <r>
    <x v="1"/>
    <s v="SKU86"/>
    <n v="19.99817694"/>
    <n v="18"/>
    <n v="223"/>
    <n v="1229.5910289999999"/>
    <s v="Unknown"/>
    <n v="32"/>
    <n v="14"/>
    <n v="22"/>
    <n v="6"/>
    <s v="Carrier B"/>
    <n v="1.4543053100000001"/>
    <x v="1"/>
    <s v="Mumbai"/>
    <n v="4"/>
    <n v="569"/>
    <n v="18"/>
    <n v="74.608969999999999"/>
    <s v="Pass"/>
    <n v="2.051512931"/>
    <s v="Rail"/>
    <s v="Route A"/>
    <n v="264.2548898"/>
  </r>
  <r>
    <x v="0"/>
    <s v="SKU87"/>
    <n v="80.41403665"/>
    <n v="24"/>
    <n v="79"/>
    <n v="5133.8467010000004"/>
    <s v="Male"/>
    <n v="5"/>
    <n v="7"/>
    <n v="55"/>
    <n v="10"/>
    <s v="Carrier A"/>
    <n v="6.5758037979999999"/>
    <x v="0"/>
    <s v="Chennai"/>
    <n v="27"/>
    <n v="523"/>
    <n v="17"/>
    <n v="28.696996819999999"/>
    <s v="Fail"/>
    <n v="3.693737788"/>
    <s v="Sea"/>
    <s v="Route B"/>
    <n v="879.35921770000004"/>
  </r>
  <r>
    <x v="2"/>
    <s v="SKU88"/>
    <n v="75.270406980000004"/>
    <n v="58"/>
    <n v="737"/>
    <n v="9444.7420330000004"/>
    <s v="Male"/>
    <n v="60"/>
    <n v="18"/>
    <n v="85"/>
    <n v="7"/>
    <s v="Carrier A"/>
    <n v="3.8012531329999999"/>
    <x v="4"/>
    <s v="Mumbai"/>
    <n v="21"/>
    <n v="953"/>
    <n v="11"/>
    <n v="68.184919059999999"/>
    <s v="Pending"/>
    <n v="0.72220440200000002"/>
    <s v="Sea"/>
    <s v="Route A"/>
    <n v="103.916248"/>
  </r>
  <r>
    <x v="2"/>
    <s v="SKU89"/>
    <n v="97.760085579999995"/>
    <n v="10"/>
    <n v="134"/>
    <n v="5924.6825669999998"/>
    <s v="Unknown"/>
    <n v="90"/>
    <n v="1"/>
    <n v="27"/>
    <n v="8"/>
    <s v="Carrier B"/>
    <n v="9.9298162449999996"/>
    <x v="1"/>
    <s v="Kolkata"/>
    <n v="23"/>
    <n v="370"/>
    <n v="11"/>
    <n v="46.603873380000003"/>
    <s v="Pending"/>
    <n v="1.9076657340000001"/>
    <s v="Rail"/>
    <s v="Route B"/>
    <n v="517.49997389999999"/>
  </r>
  <r>
    <x v="1"/>
    <s v="SKU90"/>
    <n v="13.8819135"/>
    <n v="56"/>
    <n v="320"/>
    <n v="9592.63357"/>
    <s v="Non-binary"/>
    <n v="66"/>
    <n v="18"/>
    <n v="96"/>
    <n v="7"/>
    <s v="Carrier B"/>
    <n v="7.674430708"/>
    <x v="0"/>
    <s v="Bangalore"/>
    <n v="8"/>
    <n v="585"/>
    <n v="8"/>
    <n v="85.675963339999996"/>
    <s v="Pass"/>
    <n v="1.2193822240000001"/>
    <s v="Rail"/>
    <s v="Route B"/>
    <n v="990.07847249999998"/>
  </r>
  <r>
    <x v="2"/>
    <s v="SKU91"/>
    <n v="62.11196546"/>
    <n v="90"/>
    <n v="916"/>
    <n v="1935.2067939999999"/>
    <s v="Male"/>
    <n v="98"/>
    <n v="22"/>
    <n v="85"/>
    <n v="7"/>
    <s v="Carrier B"/>
    <n v="7.4715140839999998"/>
    <x v="3"/>
    <s v="Delhi"/>
    <n v="5"/>
    <n v="207"/>
    <n v="28"/>
    <n v="39.772882500000001"/>
    <s v="Pending"/>
    <n v="0.62600185799999997"/>
    <s v="Rail"/>
    <s v="Route B"/>
    <n v="996.77831500000002"/>
  </r>
  <r>
    <x v="2"/>
    <s v="SKU92"/>
    <n v="47.71423308"/>
    <n v="44"/>
    <n v="276"/>
    <n v="2100.1297549999999"/>
    <s v="Male"/>
    <n v="90"/>
    <n v="25"/>
    <n v="10"/>
    <n v="8"/>
    <s v="Carrier B"/>
    <n v="4.4695000260000004"/>
    <x v="4"/>
    <s v="Mumbai"/>
    <n v="4"/>
    <n v="671"/>
    <n v="29"/>
    <n v="62.612690399999998"/>
    <s v="Pass"/>
    <n v="0.33343182500000002"/>
    <s v="Rail"/>
    <s v="Route B"/>
    <n v="230.0927825"/>
  </r>
  <r>
    <x v="0"/>
    <s v="SKU93"/>
    <n v="69.290830999999997"/>
    <n v="88"/>
    <n v="114"/>
    <n v="4531.4021339999999"/>
    <s v="Unknown"/>
    <n v="63"/>
    <n v="17"/>
    <n v="66"/>
    <n v="1"/>
    <s v="Carrier C"/>
    <n v="7.0064320589999998"/>
    <x v="3"/>
    <s v="Chennai"/>
    <n v="21"/>
    <n v="824"/>
    <n v="20"/>
    <n v="35.633652339999998"/>
    <s v="Fail"/>
    <n v="4.165781795"/>
    <s v="Air"/>
    <s v="Route A"/>
    <n v="823.52384589999997"/>
  </r>
  <r>
    <x v="2"/>
    <s v="SKU94"/>
    <n v="3.0376887250000002"/>
    <n v="97"/>
    <n v="987"/>
    <n v="7888.3565470000003"/>
    <s v="Unknown"/>
    <n v="77"/>
    <n v="26"/>
    <n v="72"/>
    <n v="9"/>
    <s v="Carrier B"/>
    <n v="6.9429459419999997"/>
    <x v="4"/>
    <s v="Delhi"/>
    <n v="12"/>
    <n v="908"/>
    <n v="14"/>
    <n v="60.387378609999999"/>
    <s v="Pass"/>
    <n v="1.463607498"/>
    <s v="Rail"/>
    <s v="Route B"/>
    <n v="846.665257"/>
  </r>
  <r>
    <x v="0"/>
    <s v="SKU95"/>
    <n v="77.90392722"/>
    <n v="65"/>
    <n v="672"/>
    <n v="7386.3639439999997"/>
    <s v="Unknown"/>
    <n v="15"/>
    <n v="14"/>
    <n v="26"/>
    <n v="9"/>
    <s v="Carrier B"/>
    <n v="8.6303388699999992"/>
    <x v="3"/>
    <s v="Mumbai"/>
    <n v="18"/>
    <n v="450"/>
    <n v="26"/>
    <n v="58.890685769999997"/>
    <s v="Pending"/>
    <n v="1.2108821299999999"/>
    <s v="Air"/>
    <s v="Route A"/>
    <n v="778.86424139999997"/>
  </r>
  <r>
    <x v="2"/>
    <s v="SKU96"/>
    <n v="24.423131420000001"/>
    <n v="29"/>
    <n v="324"/>
    <n v="7698.4247660000001"/>
    <s v="Non-binary"/>
    <n v="67"/>
    <n v="2"/>
    <n v="32"/>
    <n v="3"/>
    <s v="Carrier C"/>
    <n v="5.3528780439999997"/>
    <x v="0"/>
    <s v="Mumbai"/>
    <n v="28"/>
    <n v="648"/>
    <n v="28"/>
    <n v="17.803756329999999"/>
    <s v="Pending"/>
    <n v="3.8720476810000002"/>
    <s v="Road"/>
    <s v="Route A"/>
    <n v="188.7421411"/>
  </r>
  <r>
    <x v="0"/>
    <s v="SKU97"/>
    <n v="3.5261112589999999"/>
    <n v="56"/>
    <n v="62"/>
    <n v="4370.9165800000001"/>
    <s v="Male"/>
    <n v="46"/>
    <n v="19"/>
    <n v="4"/>
    <n v="9"/>
    <s v="Carrier A"/>
    <n v="7.9048456109999998"/>
    <x v="3"/>
    <s v="Mumbai"/>
    <n v="10"/>
    <n v="535"/>
    <n v="13"/>
    <n v="65.765155930000006"/>
    <s v="Fail"/>
    <n v="3.376237835"/>
    <s v="Road"/>
    <s v="Route A"/>
    <n v="540.13242290000005"/>
  </r>
  <r>
    <x v="1"/>
    <s v="SKU98"/>
    <n v="19.754604870000001"/>
    <n v="43"/>
    <n v="913"/>
    <n v="8525.9525599999997"/>
    <s v="Female"/>
    <n v="53"/>
    <n v="1"/>
    <n v="27"/>
    <n v="7"/>
    <s v="Carrier B"/>
    <n v="1.4098010949999999"/>
    <x v="2"/>
    <s v="Chennai"/>
    <n v="28"/>
    <n v="581"/>
    <n v="9"/>
    <n v="5.6046908640000002"/>
    <s v="Pending"/>
    <n v="2.9081221689999999"/>
    <s v="Rail"/>
    <s v="Route A"/>
    <n v="882.19886350000002"/>
  </r>
  <r>
    <x v="0"/>
    <s v="SKU99"/>
    <n v="68.5178327"/>
    <n v="17"/>
    <n v="627"/>
    <n v="9185.185829"/>
    <s v="Unknown"/>
    <n v="55"/>
    <n v="8"/>
    <n v="59"/>
    <n v="6"/>
    <s v="Carrier B"/>
    <n v="1.311023756"/>
    <x v="4"/>
    <s v="Chennai"/>
    <n v="29"/>
    <n v="921"/>
    <n v="2"/>
    <n v="38.072898520000003"/>
    <s v="Fail"/>
    <n v="0.34602729100000001"/>
    <s v="Rail"/>
    <s v="Route B"/>
    <n v="210.743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EBA80-2A85-4D93-A326-E8AAB621A7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24"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generated" fld="5" baseField="0" baseItem="0"/>
    <dataField name="Sum of Number of products sold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0FD14-EBDC-45BC-8106-9DE59120960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9" firstHeaderRow="0" firstDataRow="1" firstDataCol="1"/>
  <pivotFields count="24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generated" fld="5" baseField="0" baseItem="0"/>
    <dataField name="Sum of Defect rates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0CD8-C87D-48A8-B7A7-8F2F4D64487D}">
  <dimension ref="A3:C7"/>
  <sheetViews>
    <sheetView workbookViewId="0">
      <selection activeCell="K28" sqref="K28"/>
    </sheetView>
  </sheetViews>
  <sheetFormatPr defaultRowHeight="14.4" x14ac:dyDescent="0.3"/>
  <cols>
    <col min="1" max="1" width="12.5546875" bestFit="1" customWidth="1"/>
    <col min="2" max="2" width="24.109375" bestFit="1" customWidth="1"/>
    <col min="3" max="3" width="28.77734375" bestFit="1" customWidth="1"/>
  </cols>
  <sheetData>
    <row r="3" spans="1:3" x14ac:dyDescent="0.3">
      <c r="A3" s="3" t="s">
        <v>162</v>
      </c>
      <c r="B3" t="s">
        <v>164</v>
      </c>
      <c r="C3" t="s">
        <v>165</v>
      </c>
    </row>
    <row r="4" spans="1:3" x14ac:dyDescent="0.3">
      <c r="A4" s="4" t="s">
        <v>57</v>
      </c>
      <c r="B4">
        <v>161521.26600100004</v>
      </c>
      <c r="C4">
        <v>11757</v>
      </c>
    </row>
    <row r="5" spans="1:3" x14ac:dyDescent="0.3">
      <c r="A5" s="4" t="s">
        <v>24</v>
      </c>
      <c r="B5">
        <v>174455.390606</v>
      </c>
      <c r="C5">
        <v>13611</v>
      </c>
    </row>
    <row r="6" spans="1:3" x14ac:dyDescent="0.3">
      <c r="A6" s="4" t="s">
        <v>33</v>
      </c>
      <c r="B6">
        <v>241628.16213300003</v>
      </c>
      <c r="C6">
        <v>20731</v>
      </c>
    </row>
    <row r="7" spans="1:3" x14ac:dyDescent="0.3">
      <c r="A7" s="4" t="s">
        <v>163</v>
      </c>
      <c r="B7">
        <v>577604.81874000002</v>
      </c>
      <c r="C7">
        <v>46099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2A4A-4711-4FF0-B167-07EF50972BA3}">
  <dimension ref="A3:C9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4.109375" bestFit="1" customWidth="1"/>
    <col min="3" max="3" width="17.6640625" bestFit="1" customWidth="1"/>
  </cols>
  <sheetData>
    <row r="3" spans="1:3" x14ac:dyDescent="0.3">
      <c r="A3" s="3" t="s">
        <v>162</v>
      </c>
      <c r="B3" t="s">
        <v>164</v>
      </c>
      <c r="C3" t="s">
        <v>166</v>
      </c>
    </row>
    <row r="4" spans="1:3" x14ac:dyDescent="0.3">
      <c r="A4" s="4" t="s">
        <v>39</v>
      </c>
      <c r="B4">
        <v>157528.99504000001</v>
      </c>
      <c r="C4">
        <v>48.698002215999999</v>
      </c>
    </row>
    <row r="5" spans="1:3" x14ac:dyDescent="0.3">
      <c r="A5" s="4" t="s">
        <v>61</v>
      </c>
      <c r="B5">
        <v>125467.418607</v>
      </c>
      <c r="C5">
        <v>51.980503191999993</v>
      </c>
    </row>
    <row r="6" spans="1:3" x14ac:dyDescent="0.3">
      <c r="A6" s="4" t="s">
        <v>28</v>
      </c>
      <c r="B6">
        <v>97795.979637000011</v>
      </c>
      <c r="C6">
        <v>36.986790460999998</v>
      </c>
    </row>
    <row r="7" spans="1:3" x14ac:dyDescent="0.3">
      <c r="A7" s="4" t="s">
        <v>52</v>
      </c>
      <c r="B7">
        <v>86468.961800000005</v>
      </c>
      <c r="C7">
        <v>42.073153211000005</v>
      </c>
    </row>
    <row r="8" spans="1:3" x14ac:dyDescent="0.3">
      <c r="A8" s="4" t="s">
        <v>44</v>
      </c>
      <c r="B8">
        <v>110343.46365599999</v>
      </c>
      <c r="C8">
        <v>47.977350194000003</v>
      </c>
    </row>
    <row r="9" spans="1:3" x14ac:dyDescent="0.3">
      <c r="A9" s="4" t="s">
        <v>163</v>
      </c>
      <c r="B9">
        <v>577604.81874000002</v>
      </c>
      <c r="C9">
        <v>227.71579927399998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6850-272E-4159-B33D-EC84551CBB5C}">
  <dimension ref="A1:X101"/>
  <sheetViews>
    <sheetView workbookViewId="0">
      <selection activeCell="Q9" sqref="Q9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69.808005539999996</v>
      </c>
      <c r="D2">
        <v>55</v>
      </c>
      <c r="E2">
        <v>802</v>
      </c>
      <c r="F2">
        <v>8661.9967919999999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2.9565721389999999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</v>
      </c>
      <c r="T2" t="s">
        <v>30</v>
      </c>
      <c r="U2">
        <v>0.226410361</v>
      </c>
      <c r="V2" t="s">
        <v>31</v>
      </c>
      <c r="W2" t="s">
        <v>32</v>
      </c>
      <c r="X2">
        <v>187.75207549999999</v>
      </c>
    </row>
    <row r="3" spans="1:24" x14ac:dyDescent="0.3">
      <c r="A3" t="s">
        <v>33</v>
      </c>
      <c r="B3" t="s">
        <v>34</v>
      </c>
      <c r="C3">
        <v>14.843523279999999</v>
      </c>
      <c r="D3">
        <v>95</v>
      </c>
      <c r="E3">
        <v>736</v>
      </c>
      <c r="F3">
        <v>7460.9000649999998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9.7165747709999994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33.616768950000001</v>
      </c>
      <c r="T3" t="s">
        <v>30</v>
      </c>
      <c r="U3">
        <v>4.8540680260000002</v>
      </c>
      <c r="V3" t="s">
        <v>31</v>
      </c>
      <c r="W3" t="s">
        <v>32</v>
      </c>
      <c r="X3">
        <v>503.06557909999998</v>
      </c>
    </row>
    <row r="4" spans="1:24" x14ac:dyDescent="0.3">
      <c r="A4" t="s">
        <v>24</v>
      </c>
      <c r="B4" t="s">
        <v>37</v>
      </c>
      <c r="C4">
        <v>11.31968329</v>
      </c>
      <c r="D4">
        <v>34</v>
      </c>
      <c r="E4">
        <v>8</v>
      </c>
      <c r="F4">
        <v>9577.7496260000007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8.0544792619999992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30.688019350000001</v>
      </c>
      <c r="T4" t="s">
        <v>30</v>
      </c>
      <c r="U4">
        <v>4.5805926189999999</v>
      </c>
      <c r="V4" t="s">
        <v>40</v>
      </c>
      <c r="W4" t="s">
        <v>41</v>
      </c>
      <c r="X4">
        <v>141.9202818</v>
      </c>
    </row>
    <row r="5" spans="1:24" x14ac:dyDescent="0.3">
      <c r="A5" t="s">
        <v>33</v>
      </c>
      <c r="B5" t="s">
        <v>42</v>
      </c>
      <c r="C5">
        <v>61.163343019999999</v>
      </c>
      <c r="D5">
        <v>68</v>
      </c>
      <c r="E5">
        <v>83</v>
      </c>
      <c r="F5">
        <v>7766.8364259999998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1.729568564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35.624741399999998</v>
      </c>
      <c r="T5" t="s">
        <v>46</v>
      </c>
      <c r="U5">
        <v>4.7466486210000003</v>
      </c>
      <c r="V5" t="s">
        <v>47</v>
      </c>
      <c r="W5" t="s">
        <v>48</v>
      </c>
      <c r="X5">
        <v>254.7761592</v>
      </c>
    </row>
    <row r="6" spans="1:24" x14ac:dyDescent="0.3">
      <c r="A6" t="s">
        <v>33</v>
      </c>
      <c r="B6" t="s">
        <v>49</v>
      </c>
      <c r="C6">
        <v>4.8054960360000001</v>
      </c>
      <c r="D6">
        <v>26</v>
      </c>
      <c r="E6">
        <v>871</v>
      </c>
      <c r="F6">
        <v>2686.5051520000002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3.8905479160000001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92.065160599999999</v>
      </c>
      <c r="T6" t="s">
        <v>46</v>
      </c>
      <c r="U6">
        <v>3.1455795229999999</v>
      </c>
      <c r="V6" t="s">
        <v>40</v>
      </c>
      <c r="W6" t="s">
        <v>48</v>
      </c>
      <c r="X6">
        <v>923.44063170000004</v>
      </c>
    </row>
    <row r="7" spans="1:24" x14ac:dyDescent="0.3">
      <c r="A7" t="s">
        <v>24</v>
      </c>
      <c r="B7" t="s">
        <v>51</v>
      </c>
      <c r="C7">
        <v>1.699976014</v>
      </c>
      <c r="D7">
        <v>87</v>
      </c>
      <c r="E7">
        <v>147</v>
      </c>
      <c r="F7">
        <v>2828.3487460000001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4.4440988639999999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56.766475560000003</v>
      </c>
      <c r="T7" t="s">
        <v>46</v>
      </c>
      <c r="U7">
        <v>2.779193512</v>
      </c>
      <c r="V7" t="s">
        <v>31</v>
      </c>
      <c r="W7" t="s">
        <v>48</v>
      </c>
      <c r="X7">
        <v>235.4612367</v>
      </c>
    </row>
    <row r="8" spans="1:24" x14ac:dyDescent="0.3">
      <c r="A8" t="s">
        <v>33</v>
      </c>
      <c r="B8" t="s">
        <v>54</v>
      </c>
      <c r="C8">
        <v>4.078332863</v>
      </c>
      <c r="D8">
        <v>48</v>
      </c>
      <c r="E8">
        <v>65</v>
      </c>
      <c r="F8">
        <v>7823.4765600000001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3.8807633030000002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1.08506857</v>
      </c>
      <c r="T8" t="s">
        <v>30</v>
      </c>
      <c r="U8">
        <v>1.0009106189999999</v>
      </c>
      <c r="V8" t="s">
        <v>56</v>
      </c>
      <c r="W8" t="s">
        <v>48</v>
      </c>
      <c r="X8">
        <v>134.36909689999999</v>
      </c>
    </row>
    <row r="9" spans="1:24" x14ac:dyDescent="0.3">
      <c r="A9" t="s">
        <v>57</v>
      </c>
      <c r="B9" t="s">
        <v>58</v>
      </c>
      <c r="C9">
        <v>42.958384379999998</v>
      </c>
      <c r="D9">
        <v>59</v>
      </c>
      <c r="E9">
        <v>426</v>
      </c>
      <c r="F9">
        <v>8496.1038129999997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2.3483387840000001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99.466108599999998</v>
      </c>
      <c r="T9" t="s">
        <v>46</v>
      </c>
      <c r="U9">
        <v>0.39817718699999999</v>
      </c>
      <c r="V9" t="s">
        <v>31</v>
      </c>
      <c r="W9" t="s">
        <v>41</v>
      </c>
      <c r="X9">
        <v>802.0563118</v>
      </c>
    </row>
    <row r="10" spans="1:24" x14ac:dyDescent="0.3">
      <c r="A10" t="s">
        <v>57</v>
      </c>
      <c r="B10" t="s">
        <v>59</v>
      </c>
      <c r="C10">
        <v>68.717596749999998</v>
      </c>
      <c r="D10">
        <v>78</v>
      </c>
      <c r="E10">
        <v>150</v>
      </c>
      <c r="F10">
        <v>7517.3632109999999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3.4047338570000001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11.42302714</v>
      </c>
      <c r="T10" t="s">
        <v>30</v>
      </c>
      <c r="U10">
        <v>2.7098626910000001</v>
      </c>
      <c r="V10" t="s">
        <v>56</v>
      </c>
      <c r="W10" t="s">
        <v>32</v>
      </c>
      <c r="X10">
        <v>505.55713420000001</v>
      </c>
    </row>
    <row r="11" spans="1:24" x14ac:dyDescent="0.3">
      <c r="A11" t="s">
        <v>33</v>
      </c>
      <c r="B11" t="s">
        <v>60</v>
      </c>
      <c r="C11">
        <v>64.015732940000007</v>
      </c>
      <c r="D11">
        <v>35</v>
      </c>
      <c r="E11">
        <v>980</v>
      </c>
      <c r="F11">
        <v>4971.1459880000002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47.957601629999999</v>
      </c>
      <c r="T11" t="s">
        <v>30</v>
      </c>
      <c r="U11">
        <v>3.8446144790000001</v>
      </c>
      <c r="V11" t="s">
        <v>47</v>
      </c>
      <c r="W11" t="s">
        <v>32</v>
      </c>
      <c r="X11">
        <v>995.9294615</v>
      </c>
    </row>
    <row r="12" spans="1:24" x14ac:dyDescent="0.3">
      <c r="A12" t="s">
        <v>33</v>
      </c>
      <c r="B12" t="s">
        <v>63</v>
      </c>
      <c r="C12">
        <v>15.70779568</v>
      </c>
      <c r="D12">
        <v>11</v>
      </c>
      <c r="E12">
        <v>996</v>
      </c>
      <c r="F12">
        <v>2330.9658020000002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8.6732112109999999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96.527352789999995</v>
      </c>
      <c r="T12" t="s">
        <v>64</v>
      </c>
      <c r="U12">
        <v>1.7273139280000001</v>
      </c>
      <c r="V12" t="s">
        <v>31</v>
      </c>
      <c r="W12" t="s">
        <v>32</v>
      </c>
      <c r="X12">
        <v>806.10317769999995</v>
      </c>
    </row>
    <row r="13" spans="1:24" x14ac:dyDescent="0.3">
      <c r="A13" t="s">
        <v>33</v>
      </c>
      <c r="B13" t="s">
        <v>65</v>
      </c>
      <c r="C13">
        <v>90.635459979999993</v>
      </c>
      <c r="D13">
        <v>95</v>
      </c>
      <c r="E13">
        <v>960</v>
      </c>
      <c r="F13">
        <v>6099.9441159999997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4.5239431239999996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27.592363089999999</v>
      </c>
      <c r="T13" t="s">
        <v>30</v>
      </c>
      <c r="U13">
        <v>2.1169820999999998E-2</v>
      </c>
      <c r="V13" t="s">
        <v>40</v>
      </c>
      <c r="W13" t="s">
        <v>48</v>
      </c>
      <c r="X13">
        <v>126.72303340000001</v>
      </c>
    </row>
    <row r="14" spans="1:24" x14ac:dyDescent="0.3">
      <c r="A14" t="s">
        <v>24</v>
      </c>
      <c r="B14" t="s">
        <v>66</v>
      </c>
      <c r="C14">
        <v>71.213389079999999</v>
      </c>
      <c r="D14">
        <v>41</v>
      </c>
      <c r="E14">
        <v>336</v>
      </c>
      <c r="F14">
        <v>2873.741446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32.321286209999997</v>
      </c>
      <c r="T14" t="s">
        <v>46</v>
      </c>
      <c r="U14">
        <v>2.161253748</v>
      </c>
      <c r="V14" t="s">
        <v>31</v>
      </c>
      <c r="W14" t="s">
        <v>32</v>
      </c>
      <c r="X14">
        <v>402.96878909999998</v>
      </c>
    </row>
    <row r="15" spans="1:24" x14ac:dyDescent="0.3">
      <c r="A15" t="s">
        <v>33</v>
      </c>
      <c r="B15" t="s">
        <v>67</v>
      </c>
      <c r="C15">
        <v>16.160393320000001</v>
      </c>
      <c r="D15">
        <v>5</v>
      </c>
      <c r="E15">
        <v>249</v>
      </c>
      <c r="F15">
        <v>4052.7384160000001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9.5372830610000001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97.829050109999997</v>
      </c>
      <c r="T15" t="s">
        <v>30</v>
      </c>
      <c r="U15">
        <v>1.6310742300000001</v>
      </c>
      <c r="V15" t="s">
        <v>31</v>
      </c>
      <c r="W15" t="s">
        <v>32</v>
      </c>
      <c r="X15">
        <v>547.24100520000002</v>
      </c>
    </row>
    <row r="16" spans="1:24" x14ac:dyDescent="0.3">
      <c r="A16" t="s">
        <v>33</v>
      </c>
      <c r="B16" t="s">
        <v>68</v>
      </c>
      <c r="C16">
        <v>99.171328639999999</v>
      </c>
      <c r="D16">
        <v>26</v>
      </c>
      <c r="E16">
        <v>562</v>
      </c>
      <c r="F16">
        <v>8653.5709260000003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5.7914366299999998</v>
      </c>
      <c r="T16" t="s">
        <v>30</v>
      </c>
      <c r="U16">
        <v>0.100682852</v>
      </c>
      <c r="V16" t="s">
        <v>40</v>
      </c>
      <c r="W16" t="s">
        <v>32</v>
      </c>
      <c r="X16">
        <v>929.23528999999996</v>
      </c>
    </row>
    <row r="17" spans="1:24" x14ac:dyDescent="0.3">
      <c r="A17" t="s">
        <v>33</v>
      </c>
      <c r="B17" t="s">
        <v>69</v>
      </c>
      <c r="C17">
        <v>36.989244929999998</v>
      </c>
      <c r="D17">
        <v>94</v>
      </c>
      <c r="E17">
        <v>469</v>
      </c>
      <c r="F17">
        <v>5442.0867850000004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2.4220397230000001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97.121281749999994</v>
      </c>
      <c r="T17" t="s">
        <v>64</v>
      </c>
      <c r="U17">
        <v>2.2644057609999999</v>
      </c>
      <c r="V17" t="s">
        <v>56</v>
      </c>
      <c r="W17" t="s">
        <v>32</v>
      </c>
      <c r="X17">
        <v>127.8618</v>
      </c>
    </row>
    <row r="18" spans="1:24" x14ac:dyDescent="0.3">
      <c r="A18" t="s">
        <v>33</v>
      </c>
      <c r="B18" t="s">
        <v>70</v>
      </c>
      <c r="C18">
        <v>7.54717211</v>
      </c>
      <c r="D18">
        <v>74</v>
      </c>
      <c r="E18">
        <v>280</v>
      </c>
      <c r="F18">
        <v>6453.7979679999999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4.1913245860000004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77.106342499999997</v>
      </c>
      <c r="T18" t="s">
        <v>64</v>
      </c>
      <c r="U18">
        <v>1.0125630889999999</v>
      </c>
      <c r="V18" t="s">
        <v>40</v>
      </c>
      <c r="W18" t="s">
        <v>48</v>
      </c>
      <c r="X18">
        <v>865.52577980000001</v>
      </c>
    </row>
    <row r="19" spans="1:24" x14ac:dyDescent="0.3">
      <c r="A19" t="s">
        <v>57</v>
      </c>
      <c r="B19" t="s">
        <v>71</v>
      </c>
      <c r="C19">
        <v>81.46253437</v>
      </c>
      <c r="D19">
        <v>82</v>
      </c>
      <c r="E19">
        <v>126</v>
      </c>
      <c r="F19">
        <v>2629.3964350000001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47.67968037</v>
      </c>
      <c r="T19" t="s">
        <v>46</v>
      </c>
      <c r="U19">
        <v>0.102020755</v>
      </c>
      <c r="V19" t="s">
        <v>40</v>
      </c>
      <c r="W19" t="s">
        <v>41</v>
      </c>
      <c r="X19">
        <v>670.93439079999996</v>
      </c>
    </row>
    <row r="20" spans="1:24" x14ac:dyDescent="0.3">
      <c r="A20" t="s">
        <v>24</v>
      </c>
      <c r="B20" t="s">
        <v>72</v>
      </c>
      <c r="C20">
        <v>36.443627769999999</v>
      </c>
      <c r="D20">
        <v>23</v>
      </c>
      <c r="E20">
        <v>620</v>
      </c>
      <c r="F20">
        <v>9364.6735050000007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4.3392247140000002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27.107980850000001</v>
      </c>
      <c r="T20" t="s">
        <v>30</v>
      </c>
      <c r="U20">
        <v>2.231939111</v>
      </c>
      <c r="V20" t="s">
        <v>56</v>
      </c>
      <c r="W20" t="s">
        <v>48</v>
      </c>
      <c r="X20">
        <v>593.48025870000004</v>
      </c>
    </row>
    <row r="21" spans="1:24" x14ac:dyDescent="0.3">
      <c r="A21" t="s">
        <v>33</v>
      </c>
      <c r="B21" t="s">
        <v>73</v>
      </c>
      <c r="C21">
        <v>51.123870089999997</v>
      </c>
      <c r="D21">
        <v>100</v>
      </c>
      <c r="E21">
        <v>187</v>
      </c>
      <c r="F21">
        <v>2553.4955850000001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4.7426358830000002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82.373320590000006</v>
      </c>
      <c r="T21" t="s">
        <v>46</v>
      </c>
      <c r="U21">
        <v>3.6464508649999998</v>
      </c>
      <c r="V21" t="s">
        <v>31</v>
      </c>
      <c r="W21" t="s">
        <v>41</v>
      </c>
      <c r="X21">
        <v>477.30763109999998</v>
      </c>
    </row>
    <row r="22" spans="1:24" x14ac:dyDescent="0.3">
      <c r="A22" t="s">
        <v>33</v>
      </c>
      <c r="B22" t="s">
        <v>74</v>
      </c>
      <c r="C22">
        <v>96.341072440000005</v>
      </c>
      <c r="D22">
        <v>22</v>
      </c>
      <c r="E22">
        <v>320</v>
      </c>
      <c r="F22">
        <v>8128.0276970000004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8.8783346509999994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65.686259609999993</v>
      </c>
      <c r="T22" t="s">
        <v>64</v>
      </c>
      <c r="U22">
        <v>4.2314165739999998</v>
      </c>
      <c r="V22" t="s">
        <v>40</v>
      </c>
      <c r="W22" t="s">
        <v>32</v>
      </c>
      <c r="X22">
        <v>493.87121530000002</v>
      </c>
    </row>
    <row r="23" spans="1:24" x14ac:dyDescent="0.3">
      <c r="A23" t="s">
        <v>57</v>
      </c>
      <c r="B23" t="s">
        <v>75</v>
      </c>
      <c r="C23">
        <v>84.893868979999993</v>
      </c>
      <c r="D23">
        <v>60</v>
      </c>
      <c r="E23">
        <v>601</v>
      </c>
      <c r="F23">
        <v>7087.0526959999997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6.0378837689999996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61.735728950000002</v>
      </c>
      <c r="T23" t="s">
        <v>30</v>
      </c>
      <c r="U23">
        <v>1.8607568000000001E-2</v>
      </c>
      <c r="V23" t="s">
        <v>40</v>
      </c>
      <c r="W23" t="s">
        <v>41</v>
      </c>
      <c r="X23">
        <v>523.36091469999997</v>
      </c>
    </row>
    <row r="24" spans="1:24" x14ac:dyDescent="0.3">
      <c r="A24" t="s">
        <v>24</v>
      </c>
      <c r="B24" t="s">
        <v>76</v>
      </c>
      <c r="C24">
        <v>27.67978089</v>
      </c>
      <c r="D24">
        <v>55</v>
      </c>
      <c r="E24">
        <v>884</v>
      </c>
      <c r="F24">
        <v>2390.807867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9.567648921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50.120839609999997</v>
      </c>
      <c r="T24" t="s">
        <v>46</v>
      </c>
      <c r="U24">
        <v>2.5912754730000001</v>
      </c>
      <c r="V24" t="s">
        <v>47</v>
      </c>
      <c r="W24" t="s">
        <v>41</v>
      </c>
      <c r="X24">
        <v>205.5719958</v>
      </c>
    </row>
    <row r="25" spans="1:24" x14ac:dyDescent="0.3">
      <c r="A25" t="s">
        <v>57</v>
      </c>
      <c r="B25" t="s">
        <v>77</v>
      </c>
      <c r="C25">
        <v>4.3243411859999998</v>
      </c>
      <c r="D25">
        <v>30</v>
      </c>
      <c r="E25">
        <v>391</v>
      </c>
      <c r="F25">
        <v>8858.3675710000007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2.9248576009999998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</v>
      </c>
      <c r="T25" t="s">
        <v>30</v>
      </c>
      <c r="U25">
        <v>1.3422915630000001</v>
      </c>
      <c r="V25" t="s">
        <v>47</v>
      </c>
      <c r="W25" t="s">
        <v>48</v>
      </c>
      <c r="X25">
        <v>196.32944610000001</v>
      </c>
    </row>
    <row r="26" spans="1:24" x14ac:dyDescent="0.3">
      <c r="A26" t="s">
        <v>24</v>
      </c>
      <c r="B26" t="s">
        <v>78</v>
      </c>
      <c r="C26">
        <v>4.1563083589999996</v>
      </c>
      <c r="D26">
        <v>32</v>
      </c>
      <c r="E26">
        <v>209</v>
      </c>
      <c r="F26">
        <v>9049.0778609999998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9.7412916890000005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40.382359700000002</v>
      </c>
      <c r="T26" t="s">
        <v>30</v>
      </c>
      <c r="U26">
        <v>3.6913102929999999</v>
      </c>
      <c r="V26" t="s">
        <v>40</v>
      </c>
      <c r="W26" t="s">
        <v>48</v>
      </c>
      <c r="X26">
        <v>758.72477260000005</v>
      </c>
    </row>
    <row r="27" spans="1:24" x14ac:dyDescent="0.3">
      <c r="A27" t="s">
        <v>24</v>
      </c>
      <c r="B27" t="s">
        <v>79</v>
      </c>
      <c r="C27">
        <v>39.629343990000002</v>
      </c>
      <c r="D27">
        <v>73</v>
      </c>
      <c r="E27">
        <v>142</v>
      </c>
      <c r="F27">
        <v>2174.7770540000001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2.2310736809999998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78.280383119999996</v>
      </c>
      <c r="T27" t="s">
        <v>30</v>
      </c>
      <c r="U27">
        <v>3.7972312170000002</v>
      </c>
      <c r="V27" t="s">
        <v>31</v>
      </c>
      <c r="W27" t="s">
        <v>32</v>
      </c>
      <c r="X27">
        <v>458.53594570000001</v>
      </c>
    </row>
    <row r="28" spans="1:24" x14ac:dyDescent="0.3">
      <c r="A28" t="s">
        <v>24</v>
      </c>
      <c r="B28" t="s">
        <v>80</v>
      </c>
      <c r="C28">
        <v>97.446946620000006</v>
      </c>
      <c r="D28">
        <v>9</v>
      </c>
      <c r="E28">
        <v>353</v>
      </c>
      <c r="F28">
        <v>3716.4933259999998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6.5075486209999998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15.972229759999999</v>
      </c>
      <c r="T28" t="s">
        <v>64</v>
      </c>
      <c r="U28">
        <v>2.1193197370000001</v>
      </c>
      <c r="V28" t="s">
        <v>47</v>
      </c>
      <c r="W28" t="s">
        <v>48</v>
      </c>
      <c r="X28">
        <v>617.8669165</v>
      </c>
    </row>
    <row r="29" spans="1:24" x14ac:dyDescent="0.3">
      <c r="A29" t="s">
        <v>57</v>
      </c>
      <c r="B29" t="s">
        <v>81</v>
      </c>
      <c r="C29">
        <v>92.557360810000006</v>
      </c>
      <c r="D29">
        <v>42</v>
      </c>
      <c r="E29">
        <v>352</v>
      </c>
      <c r="F29">
        <v>2686.4572240000002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7.4067509530000004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10.528245070000001</v>
      </c>
      <c r="T29" t="s">
        <v>46</v>
      </c>
      <c r="U29">
        <v>2.8646678379999999</v>
      </c>
      <c r="V29" t="s">
        <v>56</v>
      </c>
      <c r="W29" t="s">
        <v>32</v>
      </c>
      <c r="X29">
        <v>762.45918219999999</v>
      </c>
    </row>
    <row r="30" spans="1:24" x14ac:dyDescent="0.3">
      <c r="A30" t="s">
        <v>57</v>
      </c>
      <c r="B30" t="s">
        <v>82</v>
      </c>
      <c r="C30">
        <v>2.3972747060000001</v>
      </c>
      <c r="D30">
        <v>12</v>
      </c>
      <c r="E30">
        <v>394</v>
      </c>
      <c r="F30">
        <v>6117.3246150000004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9.8981405079999991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59.429381810000002</v>
      </c>
      <c r="T30" t="s">
        <v>46</v>
      </c>
      <c r="U30">
        <v>0.81575707900000005</v>
      </c>
      <c r="V30" t="s">
        <v>40</v>
      </c>
      <c r="W30" t="s">
        <v>48</v>
      </c>
      <c r="X30">
        <v>123.4370275</v>
      </c>
    </row>
    <row r="31" spans="1:24" x14ac:dyDescent="0.3">
      <c r="A31" t="s">
        <v>57</v>
      </c>
      <c r="B31" t="s">
        <v>83</v>
      </c>
      <c r="C31">
        <v>63.44755919</v>
      </c>
      <c r="D31">
        <v>3</v>
      </c>
      <c r="E31">
        <v>253</v>
      </c>
      <c r="F31">
        <v>8318.9031950000008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8.1009731449999993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39.292875590000001</v>
      </c>
      <c r="T31" t="s">
        <v>64</v>
      </c>
      <c r="U31">
        <v>3.8780989369999999</v>
      </c>
      <c r="V31" t="s">
        <v>31</v>
      </c>
      <c r="W31" t="s">
        <v>32</v>
      </c>
      <c r="X31">
        <v>764.93537590000005</v>
      </c>
    </row>
    <row r="32" spans="1:24" x14ac:dyDescent="0.3">
      <c r="A32" t="s">
        <v>24</v>
      </c>
      <c r="B32" t="s">
        <v>84</v>
      </c>
      <c r="C32">
        <v>8.0228592110000001</v>
      </c>
      <c r="D32">
        <v>10</v>
      </c>
      <c r="E32">
        <v>327</v>
      </c>
      <c r="F32">
        <v>2766.3423670000002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8.9545283149999992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51.634893400000003</v>
      </c>
      <c r="T32" t="s">
        <v>30</v>
      </c>
      <c r="U32">
        <v>0.96539470500000002</v>
      </c>
      <c r="V32" t="s">
        <v>31</v>
      </c>
      <c r="W32" t="s">
        <v>41</v>
      </c>
      <c r="X32">
        <v>880.08098819999998</v>
      </c>
    </row>
    <row r="33" spans="1:24" x14ac:dyDescent="0.3">
      <c r="A33" t="s">
        <v>33</v>
      </c>
      <c r="B33" t="s">
        <v>85</v>
      </c>
      <c r="C33">
        <v>50.847393050000001</v>
      </c>
      <c r="D33">
        <v>28</v>
      </c>
      <c r="E33">
        <v>168</v>
      </c>
      <c r="F33">
        <v>9655.1351030000005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2.6796609650000001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60.251145659999999</v>
      </c>
      <c r="T33" t="s">
        <v>30</v>
      </c>
      <c r="U33">
        <v>2.989000007</v>
      </c>
      <c r="V33" t="s">
        <v>47</v>
      </c>
      <c r="W33" t="s">
        <v>41</v>
      </c>
      <c r="X33">
        <v>609.37920659999997</v>
      </c>
    </row>
    <row r="34" spans="1:24" x14ac:dyDescent="0.3">
      <c r="A34" t="s">
        <v>33</v>
      </c>
      <c r="B34" t="s">
        <v>86</v>
      </c>
      <c r="C34">
        <v>79.209936020000001</v>
      </c>
      <c r="D34">
        <v>43</v>
      </c>
      <c r="E34">
        <v>781</v>
      </c>
      <c r="F34">
        <v>9571.5504870000004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6.5991049009999996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29.692467149999999</v>
      </c>
      <c r="T34" t="s">
        <v>64</v>
      </c>
      <c r="U34">
        <v>1.946036119</v>
      </c>
      <c r="V34" t="s">
        <v>31</v>
      </c>
      <c r="W34" t="s">
        <v>48</v>
      </c>
      <c r="X34">
        <v>761.17390950000004</v>
      </c>
    </row>
    <row r="35" spans="1:24" x14ac:dyDescent="0.3">
      <c r="A35" t="s">
        <v>57</v>
      </c>
      <c r="B35" t="s">
        <v>87</v>
      </c>
      <c r="C35">
        <v>64.795434999999998</v>
      </c>
      <c r="D35">
        <v>63</v>
      </c>
      <c r="E35">
        <v>616</v>
      </c>
      <c r="F35">
        <v>5149.9983499999998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</v>
      </c>
      <c r="T35" t="s">
        <v>46</v>
      </c>
      <c r="U35">
        <v>3.5410460119999998</v>
      </c>
      <c r="V35" t="s">
        <v>56</v>
      </c>
      <c r="W35" t="s">
        <v>48</v>
      </c>
      <c r="X35">
        <v>371.25529549999999</v>
      </c>
    </row>
    <row r="36" spans="1:24" x14ac:dyDescent="0.3">
      <c r="A36" t="s">
        <v>33</v>
      </c>
      <c r="B36" t="s">
        <v>88</v>
      </c>
      <c r="C36">
        <v>37.467592330000002</v>
      </c>
      <c r="D36">
        <v>96</v>
      </c>
      <c r="E36">
        <v>602</v>
      </c>
      <c r="F36">
        <v>9061.7108960000005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10.754272820000001</v>
      </c>
      <c r="T36" t="s">
        <v>64</v>
      </c>
      <c r="U36">
        <v>0.64660455900000002</v>
      </c>
      <c r="V36" t="s">
        <v>31</v>
      </c>
      <c r="W36" t="s">
        <v>32</v>
      </c>
      <c r="X36">
        <v>510.35800039999998</v>
      </c>
    </row>
    <row r="37" spans="1:24" x14ac:dyDescent="0.3">
      <c r="A37" t="s">
        <v>57</v>
      </c>
      <c r="B37" t="s">
        <v>89</v>
      </c>
      <c r="C37">
        <v>84.957786819999995</v>
      </c>
      <c r="D37">
        <v>11</v>
      </c>
      <c r="E37">
        <v>449</v>
      </c>
      <c r="F37">
        <v>6541.3293450000001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5.2881899900000002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58.004787039999997</v>
      </c>
      <c r="T37" t="s">
        <v>64</v>
      </c>
      <c r="U37">
        <v>0.54115409800000003</v>
      </c>
      <c r="V37" t="s">
        <v>56</v>
      </c>
      <c r="W37" t="s">
        <v>41</v>
      </c>
      <c r="X37">
        <v>553.42047119999995</v>
      </c>
    </row>
    <row r="38" spans="1:24" x14ac:dyDescent="0.3">
      <c r="A38" t="s">
        <v>33</v>
      </c>
      <c r="B38" t="s">
        <v>90</v>
      </c>
      <c r="C38">
        <v>9.8130025790000008</v>
      </c>
      <c r="D38">
        <v>34</v>
      </c>
      <c r="E38">
        <v>963</v>
      </c>
      <c r="F38">
        <v>7573.4024579999996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2.1079512669999998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45.531364240000002</v>
      </c>
      <c r="T38" t="s">
        <v>46</v>
      </c>
      <c r="U38">
        <v>3.8055333789999999</v>
      </c>
      <c r="V38" t="s">
        <v>40</v>
      </c>
      <c r="W38" t="s">
        <v>41</v>
      </c>
      <c r="X38">
        <v>403.80897420000002</v>
      </c>
    </row>
    <row r="39" spans="1:24" x14ac:dyDescent="0.3">
      <c r="A39" t="s">
        <v>33</v>
      </c>
      <c r="B39" t="s">
        <v>91</v>
      </c>
      <c r="C39">
        <v>23.39984475</v>
      </c>
      <c r="D39">
        <v>5</v>
      </c>
      <c r="E39">
        <v>963</v>
      </c>
      <c r="F39">
        <v>2438.3399300000001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1.5326552739999999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34.343277469999997</v>
      </c>
      <c r="T39" t="s">
        <v>30</v>
      </c>
      <c r="U39">
        <v>2.6102880850000001</v>
      </c>
      <c r="V39" t="s">
        <v>56</v>
      </c>
      <c r="W39" t="s">
        <v>48</v>
      </c>
      <c r="X39">
        <v>183.93296799999999</v>
      </c>
    </row>
    <row r="40" spans="1:24" x14ac:dyDescent="0.3">
      <c r="A40" t="s">
        <v>57</v>
      </c>
      <c r="B40" t="s">
        <v>92</v>
      </c>
      <c r="C40">
        <v>52.075930679999999</v>
      </c>
      <c r="D40">
        <v>75</v>
      </c>
      <c r="E40">
        <v>705</v>
      </c>
      <c r="F40">
        <v>9692.3180400000001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9.2359314369999996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5.9306936459999999</v>
      </c>
      <c r="T40" t="s">
        <v>30</v>
      </c>
      <c r="U40">
        <v>0.61332689900000004</v>
      </c>
      <c r="V40" t="s">
        <v>40</v>
      </c>
      <c r="W40" t="s">
        <v>32</v>
      </c>
      <c r="X40">
        <v>339.67286990000002</v>
      </c>
    </row>
    <row r="41" spans="1:24" x14ac:dyDescent="0.3">
      <c r="A41" t="s">
        <v>33</v>
      </c>
      <c r="B41" t="s">
        <v>93</v>
      </c>
      <c r="C41">
        <v>19.12747727</v>
      </c>
      <c r="D41">
        <v>26</v>
      </c>
      <c r="E41">
        <v>176</v>
      </c>
      <c r="F41">
        <v>1912.4656629999999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5.562503779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9.0058074290000008</v>
      </c>
      <c r="T41" t="s">
        <v>46</v>
      </c>
      <c r="U41">
        <v>1.451972204</v>
      </c>
      <c r="V41" t="s">
        <v>40</v>
      </c>
      <c r="W41" t="s">
        <v>32</v>
      </c>
      <c r="X41">
        <v>653.67299460000004</v>
      </c>
    </row>
    <row r="42" spans="1:24" x14ac:dyDescent="0.3">
      <c r="A42" t="s">
        <v>33</v>
      </c>
      <c r="B42" t="s">
        <v>94</v>
      </c>
      <c r="C42">
        <v>80.541424169999999</v>
      </c>
      <c r="D42">
        <v>97</v>
      </c>
      <c r="E42">
        <v>933</v>
      </c>
      <c r="F42">
        <v>5724.9593500000001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7.2295951399999998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88.179407100000006</v>
      </c>
      <c r="T42" t="s">
        <v>30</v>
      </c>
      <c r="U42">
        <v>4.2132694309999996</v>
      </c>
      <c r="V42" t="s">
        <v>31</v>
      </c>
      <c r="W42" t="s">
        <v>48</v>
      </c>
      <c r="X42">
        <v>529.80872399999998</v>
      </c>
    </row>
    <row r="43" spans="1:24" x14ac:dyDescent="0.3">
      <c r="A43" t="s">
        <v>33</v>
      </c>
      <c r="B43" t="s">
        <v>95</v>
      </c>
      <c r="C43">
        <v>99.113291619999998</v>
      </c>
      <c r="D43">
        <v>35</v>
      </c>
      <c r="E43">
        <v>556</v>
      </c>
      <c r="F43">
        <v>5521.2052590000003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5.7732637440000003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95.332064549999998</v>
      </c>
      <c r="T43" t="s">
        <v>46</v>
      </c>
      <c r="U43">
        <v>4.5302262000000003E-2</v>
      </c>
      <c r="V43" t="s">
        <v>56</v>
      </c>
      <c r="W43" t="s">
        <v>48</v>
      </c>
      <c r="X43">
        <v>275.5243711</v>
      </c>
    </row>
    <row r="44" spans="1:24" x14ac:dyDescent="0.3">
      <c r="A44" t="s">
        <v>33</v>
      </c>
      <c r="B44" t="s">
        <v>96</v>
      </c>
      <c r="C44">
        <v>46.529167610000002</v>
      </c>
      <c r="D44">
        <v>98</v>
      </c>
      <c r="E44">
        <v>155</v>
      </c>
      <c r="F44">
        <v>1839.609426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7.5262483270000002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96.422820639999998</v>
      </c>
      <c r="T44" t="s">
        <v>46</v>
      </c>
      <c r="U44">
        <v>4.9392552890000001</v>
      </c>
      <c r="V44" t="s">
        <v>31</v>
      </c>
      <c r="W44" t="s">
        <v>48</v>
      </c>
      <c r="X44">
        <v>635.65712050000002</v>
      </c>
    </row>
    <row r="45" spans="1:24" x14ac:dyDescent="0.3">
      <c r="A45" t="s">
        <v>24</v>
      </c>
      <c r="B45" t="s">
        <v>97</v>
      </c>
      <c r="C45">
        <v>11.743271780000001</v>
      </c>
      <c r="D45">
        <v>6</v>
      </c>
      <c r="E45">
        <v>598</v>
      </c>
      <c r="F45">
        <v>5737.4255990000001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3.6940212680000002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26.277365960000001</v>
      </c>
      <c r="T45" t="s">
        <v>30</v>
      </c>
      <c r="U45">
        <v>0.37230476800000001</v>
      </c>
      <c r="V45" t="s">
        <v>40</v>
      </c>
      <c r="W45" t="s">
        <v>48</v>
      </c>
      <c r="X45">
        <v>716.04411979999998</v>
      </c>
    </row>
    <row r="46" spans="1:24" x14ac:dyDescent="0.3">
      <c r="A46" t="s">
        <v>57</v>
      </c>
      <c r="B46" t="s">
        <v>98</v>
      </c>
      <c r="C46">
        <v>51.355790910000003</v>
      </c>
      <c r="D46">
        <v>34</v>
      </c>
      <c r="E46">
        <v>919</v>
      </c>
      <c r="F46">
        <v>7152.2860490000003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7.5774496569999998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22.554106619999999</v>
      </c>
      <c r="T46" t="s">
        <v>46</v>
      </c>
      <c r="U46">
        <v>2.96262632</v>
      </c>
      <c r="V46" t="s">
        <v>47</v>
      </c>
      <c r="W46" t="s">
        <v>48</v>
      </c>
      <c r="X46">
        <v>610.4532696</v>
      </c>
    </row>
    <row r="47" spans="1:24" x14ac:dyDescent="0.3">
      <c r="A47" t="s">
        <v>24</v>
      </c>
      <c r="B47" t="s">
        <v>99</v>
      </c>
      <c r="C47">
        <v>33.784138030000001</v>
      </c>
      <c r="D47">
        <v>1</v>
      </c>
      <c r="E47">
        <v>24</v>
      </c>
      <c r="F47">
        <v>5267.9568079999999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5.2151550090000001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66.312544439999996</v>
      </c>
      <c r="T47" t="s">
        <v>64</v>
      </c>
      <c r="U47">
        <v>3.2196046119999999</v>
      </c>
      <c r="V47" t="s">
        <v>47</v>
      </c>
      <c r="W47" t="s">
        <v>48</v>
      </c>
      <c r="X47">
        <v>495.30569700000001</v>
      </c>
    </row>
    <row r="48" spans="1:24" x14ac:dyDescent="0.3">
      <c r="A48" t="s">
        <v>24</v>
      </c>
      <c r="B48" t="s">
        <v>100</v>
      </c>
      <c r="C48">
        <v>27.082207199999999</v>
      </c>
      <c r="D48">
        <v>75</v>
      </c>
      <c r="E48">
        <v>859</v>
      </c>
      <c r="F48">
        <v>2556.7673610000002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4.0709558369999996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77.322353210000003</v>
      </c>
      <c r="T48" t="s">
        <v>30</v>
      </c>
      <c r="U48">
        <v>3.6486105929999999</v>
      </c>
      <c r="V48" t="s">
        <v>31</v>
      </c>
      <c r="W48" t="s">
        <v>32</v>
      </c>
      <c r="X48">
        <v>380.43593709999999</v>
      </c>
    </row>
    <row r="49" spans="1:24" x14ac:dyDescent="0.3">
      <c r="A49" t="s">
        <v>33</v>
      </c>
      <c r="B49" t="s">
        <v>101</v>
      </c>
      <c r="C49">
        <v>95.712135880000005</v>
      </c>
      <c r="D49">
        <v>93</v>
      </c>
      <c r="E49">
        <v>910</v>
      </c>
      <c r="F49">
        <v>7089.4742500000002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8.9787507560000002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19.712992910000001</v>
      </c>
      <c r="T49" t="s">
        <v>30</v>
      </c>
      <c r="U49">
        <v>0.38057358699999999</v>
      </c>
      <c r="V49" t="s">
        <v>47</v>
      </c>
      <c r="W49" t="s">
        <v>48</v>
      </c>
      <c r="X49">
        <v>581.60235509999995</v>
      </c>
    </row>
    <row r="50" spans="1:24" x14ac:dyDescent="0.3">
      <c r="A50" t="s">
        <v>24</v>
      </c>
      <c r="B50" t="s">
        <v>102</v>
      </c>
      <c r="C50">
        <v>76.035544430000002</v>
      </c>
      <c r="D50">
        <v>28</v>
      </c>
      <c r="E50">
        <v>29</v>
      </c>
      <c r="F50">
        <v>7397.0710049999998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7.0958331570000004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</v>
      </c>
      <c r="T50" t="s">
        <v>46</v>
      </c>
      <c r="U50">
        <v>1.698112541</v>
      </c>
      <c r="V50" t="s">
        <v>47</v>
      </c>
      <c r="W50" t="s">
        <v>32</v>
      </c>
      <c r="X50">
        <v>768.65191400000003</v>
      </c>
    </row>
    <row r="51" spans="1:24" x14ac:dyDescent="0.3">
      <c r="A51" t="s">
        <v>57</v>
      </c>
      <c r="B51" t="s">
        <v>103</v>
      </c>
      <c r="C51">
        <v>78.897913209999999</v>
      </c>
      <c r="D51">
        <v>19</v>
      </c>
      <c r="E51">
        <v>99</v>
      </c>
      <c r="F51">
        <v>8001.6132070000003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2.5056210330000002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</v>
      </c>
      <c r="T51" t="s">
        <v>64</v>
      </c>
      <c r="U51">
        <v>2.8258139849999999</v>
      </c>
      <c r="V51" t="s">
        <v>47</v>
      </c>
      <c r="W51" t="s">
        <v>48</v>
      </c>
      <c r="X51">
        <v>336.89016850000002</v>
      </c>
    </row>
    <row r="52" spans="1:24" x14ac:dyDescent="0.3">
      <c r="A52" t="s">
        <v>57</v>
      </c>
      <c r="B52" t="s">
        <v>104</v>
      </c>
      <c r="C52">
        <v>14.20348426</v>
      </c>
      <c r="D52">
        <v>91</v>
      </c>
      <c r="E52">
        <v>633</v>
      </c>
      <c r="F52">
        <v>5910.8853900000004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6.2478609150000004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45.178757920000002</v>
      </c>
      <c r="T52" t="s">
        <v>46</v>
      </c>
      <c r="U52">
        <v>4.7548008050000004</v>
      </c>
      <c r="V52" t="s">
        <v>47</v>
      </c>
      <c r="W52" t="s">
        <v>32</v>
      </c>
      <c r="X52">
        <v>496.24865030000001</v>
      </c>
    </row>
    <row r="53" spans="1:24" x14ac:dyDescent="0.3">
      <c r="A53" t="s">
        <v>24</v>
      </c>
      <c r="B53" t="s">
        <v>105</v>
      </c>
      <c r="C53">
        <v>26.700760970000001</v>
      </c>
      <c r="D53">
        <v>61</v>
      </c>
      <c r="E53">
        <v>154</v>
      </c>
      <c r="F53">
        <v>9866.4654580000006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4.7830005580000003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14.190328340000001</v>
      </c>
      <c r="T53" t="s">
        <v>30</v>
      </c>
      <c r="U53">
        <v>1.772951172</v>
      </c>
      <c r="V53" t="s">
        <v>31</v>
      </c>
      <c r="W53" t="s">
        <v>48</v>
      </c>
      <c r="X53">
        <v>694.98231759999999</v>
      </c>
    </row>
    <row r="54" spans="1:24" x14ac:dyDescent="0.3">
      <c r="A54" t="s">
        <v>33</v>
      </c>
      <c r="B54" t="s">
        <v>106</v>
      </c>
      <c r="C54">
        <v>98.03182966</v>
      </c>
      <c r="D54">
        <v>1</v>
      </c>
      <c r="E54">
        <v>820</v>
      </c>
      <c r="F54">
        <v>9435.7626089999994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8.6310521799999993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9.1668491490000008</v>
      </c>
      <c r="T54" t="s">
        <v>30</v>
      </c>
      <c r="U54">
        <v>2.1224716190000001</v>
      </c>
      <c r="V54" t="s">
        <v>40</v>
      </c>
      <c r="W54" t="s">
        <v>41</v>
      </c>
      <c r="X54">
        <v>602.89849879999997</v>
      </c>
    </row>
    <row r="55" spans="1:24" x14ac:dyDescent="0.3">
      <c r="A55" t="s">
        <v>33</v>
      </c>
      <c r="B55" t="s">
        <v>107</v>
      </c>
      <c r="C55">
        <v>30.341470709999999</v>
      </c>
      <c r="D55">
        <v>93</v>
      </c>
      <c r="E55">
        <v>242</v>
      </c>
      <c r="F55">
        <v>8232.3348289999994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1.0134865660000001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83.344058989999994</v>
      </c>
      <c r="T55" t="s">
        <v>30</v>
      </c>
      <c r="U55">
        <v>1.4103475759999999</v>
      </c>
      <c r="V55" t="s">
        <v>40</v>
      </c>
      <c r="W55" t="s">
        <v>32</v>
      </c>
      <c r="X55">
        <v>750.73784069999999</v>
      </c>
    </row>
    <row r="56" spans="1:24" x14ac:dyDescent="0.3">
      <c r="A56" t="s">
        <v>24</v>
      </c>
      <c r="B56" t="s">
        <v>108</v>
      </c>
      <c r="C56">
        <v>31.146243160000001</v>
      </c>
      <c r="D56">
        <v>11</v>
      </c>
      <c r="E56">
        <v>622</v>
      </c>
      <c r="F56">
        <v>6088.0214800000003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4.3051034709999998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30.186023380000002</v>
      </c>
      <c r="T56" t="s">
        <v>64</v>
      </c>
      <c r="U56">
        <v>2.478771976</v>
      </c>
      <c r="V56" t="s">
        <v>31</v>
      </c>
      <c r="W56" t="s">
        <v>32</v>
      </c>
      <c r="X56">
        <v>814.06999659999997</v>
      </c>
    </row>
    <row r="57" spans="1:24" x14ac:dyDescent="0.3">
      <c r="A57" t="s">
        <v>24</v>
      </c>
      <c r="B57" t="s">
        <v>109</v>
      </c>
      <c r="C57">
        <v>79.855058339999999</v>
      </c>
      <c r="D57">
        <v>16</v>
      </c>
      <c r="E57">
        <v>701</v>
      </c>
      <c r="F57">
        <v>2925.67517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5.0143649549999996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30.32354526</v>
      </c>
      <c r="T57" t="s">
        <v>46</v>
      </c>
      <c r="U57">
        <v>4.5489196590000001</v>
      </c>
      <c r="V57" t="s">
        <v>56</v>
      </c>
      <c r="W57" t="s">
        <v>32</v>
      </c>
      <c r="X57">
        <v>323.01292799999999</v>
      </c>
    </row>
    <row r="58" spans="1:24" x14ac:dyDescent="0.3">
      <c r="A58" t="s">
        <v>33</v>
      </c>
      <c r="B58" t="s">
        <v>110</v>
      </c>
      <c r="C58">
        <v>20.986386039999999</v>
      </c>
      <c r="D58">
        <v>90</v>
      </c>
      <c r="E58">
        <v>93</v>
      </c>
      <c r="F58">
        <v>4767.0204839999997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</v>
      </c>
      <c r="T58" t="s">
        <v>64</v>
      </c>
      <c r="U58">
        <v>1.173755495</v>
      </c>
      <c r="V58" t="s">
        <v>40</v>
      </c>
      <c r="W58" t="s">
        <v>32</v>
      </c>
      <c r="X58">
        <v>832.21080870000003</v>
      </c>
    </row>
    <row r="59" spans="1:24" x14ac:dyDescent="0.3">
      <c r="A59" t="s">
        <v>24</v>
      </c>
      <c r="B59" t="s">
        <v>111</v>
      </c>
      <c r="C59">
        <v>49.26320535</v>
      </c>
      <c r="D59">
        <v>65</v>
      </c>
      <c r="E59">
        <v>227</v>
      </c>
      <c r="F59">
        <v>1605.8669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9.1605585349999998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67.779622989999993</v>
      </c>
      <c r="T59" t="s">
        <v>30</v>
      </c>
      <c r="U59">
        <v>2.5111748299999999</v>
      </c>
      <c r="V59" t="s">
        <v>47</v>
      </c>
      <c r="W59" t="s">
        <v>48</v>
      </c>
      <c r="X59">
        <v>482.19123860000002</v>
      </c>
    </row>
    <row r="60" spans="1:24" x14ac:dyDescent="0.3">
      <c r="A60" t="s">
        <v>33</v>
      </c>
      <c r="B60" t="s">
        <v>112</v>
      </c>
      <c r="C60">
        <v>59.841561380000002</v>
      </c>
      <c r="D60">
        <v>81</v>
      </c>
      <c r="E60">
        <v>896</v>
      </c>
      <c r="F60">
        <v>2021.1498099999999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4.9384385650000002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65.047415090000001</v>
      </c>
      <c r="T60" t="s">
        <v>46</v>
      </c>
      <c r="U60">
        <v>1.7303747199999999</v>
      </c>
      <c r="V60" t="s">
        <v>31</v>
      </c>
      <c r="W60" t="s">
        <v>32</v>
      </c>
      <c r="X60">
        <v>110.3643352</v>
      </c>
    </row>
    <row r="61" spans="1:24" x14ac:dyDescent="0.3">
      <c r="A61" t="s">
        <v>57</v>
      </c>
      <c r="B61" t="s">
        <v>113</v>
      </c>
      <c r="C61">
        <v>63.828398350000001</v>
      </c>
      <c r="D61">
        <v>30</v>
      </c>
      <c r="E61">
        <v>484</v>
      </c>
      <c r="F61">
        <v>1061.6185230000001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7.2937225970000004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1.900762244</v>
      </c>
      <c r="T61" t="s">
        <v>46</v>
      </c>
      <c r="U61">
        <v>0.447194015</v>
      </c>
      <c r="V61" t="s">
        <v>40</v>
      </c>
      <c r="W61" t="s">
        <v>48</v>
      </c>
      <c r="X61">
        <v>312.57427360000003</v>
      </c>
    </row>
    <row r="62" spans="1:24" x14ac:dyDescent="0.3">
      <c r="A62" t="s">
        <v>33</v>
      </c>
      <c r="B62" t="s">
        <v>114</v>
      </c>
      <c r="C62">
        <v>17.02802792</v>
      </c>
      <c r="D62">
        <v>16</v>
      </c>
      <c r="E62">
        <v>380</v>
      </c>
      <c r="F62">
        <v>8864.0843499999992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4.3813681579999999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87.213057820000003</v>
      </c>
      <c r="T62" t="s">
        <v>46</v>
      </c>
      <c r="U62">
        <v>2.8530906169999999</v>
      </c>
      <c r="V62" t="s">
        <v>47</v>
      </c>
      <c r="W62" t="s">
        <v>48</v>
      </c>
      <c r="X62">
        <v>430.16909700000002</v>
      </c>
    </row>
    <row r="63" spans="1:24" x14ac:dyDescent="0.3">
      <c r="A63" t="s">
        <v>24</v>
      </c>
      <c r="B63" t="s">
        <v>115</v>
      </c>
      <c r="C63">
        <v>52.028749900000001</v>
      </c>
      <c r="D63">
        <v>23</v>
      </c>
      <c r="E63">
        <v>117</v>
      </c>
      <c r="F63">
        <v>6885.5893509999996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9.0303404230000002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78.702393970000003</v>
      </c>
      <c r="T63" t="s">
        <v>46</v>
      </c>
      <c r="U63">
        <v>4.3674705380000001</v>
      </c>
      <c r="V63" t="s">
        <v>40</v>
      </c>
      <c r="W63" t="s">
        <v>48</v>
      </c>
      <c r="X63">
        <v>164.3665282</v>
      </c>
    </row>
    <row r="64" spans="1:24" x14ac:dyDescent="0.3">
      <c r="A64" t="s">
        <v>57</v>
      </c>
      <c r="B64" t="s">
        <v>116</v>
      </c>
      <c r="C64">
        <v>72.796353960000005</v>
      </c>
      <c r="D64">
        <v>89</v>
      </c>
      <c r="E64">
        <v>270</v>
      </c>
      <c r="F64">
        <v>3899.746834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7.291701389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21.048642730000001</v>
      </c>
      <c r="T64" t="s">
        <v>64</v>
      </c>
      <c r="U64">
        <v>1.8740014039999999</v>
      </c>
      <c r="V64" t="s">
        <v>56</v>
      </c>
      <c r="W64" t="s">
        <v>41</v>
      </c>
      <c r="X64">
        <v>320.84651580000002</v>
      </c>
    </row>
    <row r="65" spans="1:24" x14ac:dyDescent="0.3">
      <c r="A65" t="s">
        <v>33</v>
      </c>
      <c r="B65" t="s">
        <v>117</v>
      </c>
      <c r="C65">
        <v>13.01737679</v>
      </c>
      <c r="D65">
        <v>55</v>
      </c>
      <c r="E65">
        <v>246</v>
      </c>
      <c r="F65">
        <v>4256.9491410000001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2.4579335279999999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20.075003980000002</v>
      </c>
      <c r="T65" t="s">
        <v>30</v>
      </c>
      <c r="U65">
        <v>3.6328432899999998</v>
      </c>
      <c r="V65" t="s">
        <v>56</v>
      </c>
      <c r="W65" t="s">
        <v>48</v>
      </c>
      <c r="X65">
        <v>687.28617789999998</v>
      </c>
    </row>
    <row r="66" spans="1:24" x14ac:dyDescent="0.3">
      <c r="A66" t="s">
        <v>33</v>
      </c>
      <c r="B66" t="s">
        <v>118</v>
      </c>
      <c r="C66">
        <v>89.634095610000003</v>
      </c>
      <c r="D66">
        <v>11</v>
      </c>
      <c r="E66">
        <v>134</v>
      </c>
      <c r="F66">
        <v>8458.7308780000003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4.5853534680000001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8.6930424259999999</v>
      </c>
      <c r="T66" t="s">
        <v>46</v>
      </c>
      <c r="U66">
        <v>0.15948631499999999</v>
      </c>
      <c r="V66" t="s">
        <v>40</v>
      </c>
      <c r="W66" t="s">
        <v>41</v>
      </c>
      <c r="X66">
        <v>771.22508470000002</v>
      </c>
    </row>
    <row r="67" spans="1:24" x14ac:dyDescent="0.3">
      <c r="A67" t="s">
        <v>33</v>
      </c>
      <c r="B67" t="s">
        <v>119</v>
      </c>
      <c r="C67">
        <v>33.69771721</v>
      </c>
      <c r="D67">
        <v>72</v>
      </c>
      <c r="E67">
        <v>457</v>
      </c>
      <c r="F67">
        <v>8354.5796859999991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6.5805413479999997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1.5972227429999999</v>
      </c>
      <c r="T67" t="s">
        <v>46</v>
      </c>
      <c r="U67">
        <v>4.9110959550000004</v>
      </c>
      <c r="V67" t="s">
        <v>47</v>
      </c>
      <c r="W67" t="s">
        <v>41</v>
      </c>
      <c r="X67">
        <v>555.85910369999999</v>
      </c>
    </row>
    <row r="68" spans="1:24" x14ac:dyDescent="0.3">
      <c r="A68" t="s">
        <v>33</v>
      </c>
      <c r="B68" t="s">
        <v>120</v>
      </c>
      <c r="C68">
        <v>26.03486977</v>
      </c>
      <c r="D68">
        <v>52</v>
      </c>
      <c r="E68">
        <v>704</v>
      </c>
      <c r="F68">
        <v>8367.7216179999996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2.216142729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42.084436740000001</v>
      </c>
      <c r="T68" t="s">
        <v>46</v>
      </c>
      <c r="U68">
        <v>3.4480632880000002</v>
      </c>
      <c r="V68" t="s">
        <v>31</v>
      </c>
      <c r="W68" t="s">
        <v>48</v>
      </c>
      <c r="X68">
        <v>393.84334860000001</v>
      </c>
    </row>
    <row r="69" spans="1:24" x14ac:dyDescent="0.3">
      <c r="A69" t="s">
        <v>33</v>
      </c>
      <c r="B69" t="s">
        <v>121</v>
      </c>
      <c r="C69">
        <v>87.755432350000007</v>
      </c>
      <c r="D69">
        <v>16</v>
      </c>
      <c r="E69">
        <v>513</v>
      </c>
      <c r="F69">
        <v>9473.7980329999991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9.1478115449999997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7.057876147</v>
      </c>
      <c r="T69" t="s">
        <v>64</v>
      </c>
      <c r="U69">
        <v>0.13195544400000001</v>
      </c>
      <c r="V69" t="s">
        <v>56</v>
      </c>
      <c r="W69" t="s">
        <v>41</v>
      </c>
      <c r="X69">
        <v>169.27180139999999</v>
      </c>
    </row>
    <row r="70" spans="1:24" x14ac:dyDescent="0.3">
      <c r="A70" t="s">
        <v>24</v>
      </c>
      <c r="B70" t="s">
        <v>122</v>
      </c>
      <c r="C70">
        <v>37.931812379999997</v>
      </c>
      <c r="D70">
        <v>29</v>
      </c>
      <c r="E70">
        <v>163</v>
      </c>
      <c r="F70">
        <v>3550.218433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1.194251865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</v>
      </c>
      <c r="T70" t="s">
        <v>46</v>
      </c>
      <c r="U70">
        <v>1.9834678720000001</v>
      </c>
      <c r="V70" t="s">
        <v>47</v>
      </c>
      <c r="W70" t="s">
        <v>48</v>
      </c>
      <c r="X70">
        <v>299.70630310000001</v>
      </c>
    </row>
    <row r="71" spans="1:24" x14ac:dyDescent="0.3">
      <c r="A71" t="s">
        <v>33</v>
      </c>
      <c r="B71" t="s">
        <v>123</v>
      </c>
      <c r="C71">
        <v>54.865528519999998</v>
      </c>
      <c r="D71">
        <v>62</v>
      </c>
      <c r="E71">
        <v>511</v>
      </c>
      <c r="F71">
        <v>1752.381087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9.7052867900000006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</v>
      </c>
      <c r="T71" t="s">
        <v>30</v>
      </c>
      <c r="U71">
        <v>1.3623879889999999</v>
      </c>
      <c r="V71" t="s">
        <v>40</v>
      </c>
      <c r="W71" t="s">
        <v>48</v>
      </c>
      <c r="X71">
        <v>207.66320619999999</v>
      </c>
    </row>
    <row r="72" spans="1:24" x14ac:dyDescent="0.3">
      <c r="A72" t="s">
        <v>24</v>
      </c>
      <c r="B72" t="s">
        <v>124</v>
      </c>
      <c r="C72">
        <v>47.914541819999997</v>
      </c>
      <c r="D72">
        <v>90</v>
      </c>
      <c r="E72">
        <v>32</v>
      </c>
      <c r="F72">
        <v>7014.8879870000001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6.3157177549999997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</v>
      </c>
      <c r="T72" t="s">
        <v>64</v>
      </c>
      <c r="U72">
        <v>1.8305755990000001</v>
      </c>
      <c r="V72" t="s">
        <v>31</v>
      </c>
      <c r="W72" t="s">
        <v>41</v>
      </c>
      <c r="X72">
        <v>183.27289870000001</v>
      </c>
    </row>
    <row r="73" spans="1:24" x14ac:dyDescent="0.3">
      <c r="A73" t="s">
        <v>57</v>
      </c>
      <c r="B73" t="s">
        <v>125</v>
      </c>
      <c r="C73">
        <v>6.3815331630000003</v>
      </c>
      <c r="D73">
        <v>14</v>
      </c>
      <c r="E73">
        <v>637</v>
      </c>
      <c r="F73">
        <v>8180.3370850000001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9.2281903169999993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30.661677480000002</v>
      </c>
      <c r="T73" t="s">
        <v>30</v>
      </c>
      <c r="U73">
        <v>2.078750608</v>
      </c>
      <c r="V73" t="s">
        <v>31</v>
      </c>
      <c r="W73" t="s">
        <v>48</v>
      </c>
      <c r="X73">
        <v>405.16706790000001</v>
      </c>
    </row>
    <row r="74" spans="1:24" x14ac:dyDescent="0.3">
      <c r="A74" t="s">
        <v>57</v>
      </c>
      <c r="B74" t="s">
        <v>126</v>
      </c>
      <c r="C74">
        <v>90.204427519999996</v>
      </c>
      <c r="D74">
        <v>88</v>
      </c>
      <c r="E74">
        <v>478</v>
      </c>
      <c r="F74">
        <v>2633.1219809999998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6.5996141599999998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55.760492900000003</v>
      </c>
      <c r="T74" t="s">
        <v>30</v>
      </c>
      <c r="U74">
        <v>3.2133296069999999</v>
      </c>
      <c r="V74" t="s">
        <v>47</v>
      </c>
      <c r="W74" t="s">
        <v>32</v>
      </c>
      <c r="X74">
        <v>677.94456979999995</v>
      </c>
    </row>
    <row r="75" spans="1:24" x14ac:dyDescent="0.3">
      <c r="A75" t="s">
        <v>57</v>
      </c>
      <c r="B75" t="s">
        <v>127</v>
      </c>
      <c r="C75">
        <v>83.851017679999998</v>
      </c>
      <c r="D75">
        <v>41</v>
      </c>
      <c r="E75">
        <v>375</v>
      </c>
      <c r="F75">
        <v>7910.8869160000004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1.512936837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46.870238800000003</v>
      </c>
      <c r="T75" t="s">
        <v>46</v>
      </c>
      <c r="U75">
        <v>4.6205460650000001</v>
      </c>
      <c r="V75" t="s">
        <v>31</v>
      </c>
      <c r="W75" t="s">
        <v>48</v>
      </c>
      <c r="X75">
        <v>866.47280009999997</v>
      </c>
    </row>
    <row r="76" spans="1:24" x14ac:dyDescent="0.3">
      <c r="A76" t="s">
        <v>24</v>
      </c>
      <c r="B76" t="s">
        <v>128</v>
      </c>
      <c r="C76">
        <v>3.1700114140000002</v>
      </c>
      <c r="D76">
        <v>64</v>
      </c>
      <c r="E76">
        <v>904</v>
      </c>
      <c r="F76">
        <v>5709.9452959999999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5.2376546499999996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80.580852160000006</v>
      </c>
      <c r="T76" t="s">
        <v>46</v>
      </c>
      <c r="U76">
        <v>0.39661272400000003</v>
      </c>
      <c r="V76" t="s">
        <v>47</v>
      </c>
      <c r="W76" t="s">
        <v>48</v>
      </c>
      <c r="X76">
        <v>341.55265680000002</v>
      </c>
    </row>
    <row r="77" spans="1:24" x14ac:dyDescent="0.3">
      <c r="A77" t="s">
        <v>33</v>
      </c>
      <c r="B77" t="s">
        <v>129</v>
      </c>
      <c r="C77">
        <v>92.996884230000006</v>
      </c>
      <c r="D77">
        <v>29</v>
      </c>
      <c r="E77">
        <v>106</v>
      </c>
      <c r="F77">
        <v>1889.07359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2.4738977609999999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48.064782639999997</v>
      </c>
      <c r="T77" t="s">
        <v>64</v>
      </c>
      <c r="U77">
        <v>2.0300690889999999</v>
      </c>
      <c r="V77" t="s">
        <v>40</v>
      </c>
      <c r="W77" t="s">
        <v>41</v>
      </c>
      <c r="X77">
        <v>873.12964799999997</v>
      </c>
    </row>
    <row r="78" spans="1:24" x14ac:dyDescent="0.3">
      <c r="A78" t="s">
        <v>24</v>
      </c>
      <c r="B78" t="s">
        <v>130</v>
      </c>
      <c r="C78">
        <v>69.108799550000001</v>
      </c>
      <c r="D78">
        <v>23</v>
      </c>
      <c r="E78">
        <v>241</v>
      </c>
      <c r="F78">
        <v>5328.3759840000002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7.0545383370000003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64.323597800000002</v>
      </c>
      <c r="T78" t="s">
        <v>30</v>
      </c>
      <c r="U78">
        <v>2.1800374520000001</v>
      </c>
      <c r="V78" t="s">
        <v>47</v>
      </c>
      <c r="W78" t="s">
        <v>48</v>
      </c>
      <c r="X78">
        <v>997.41345009999998</v>
      </c>
    </row>
    <row r="79" spans="1:24" x14ac:dyDescent="0.3">
      <c r="A79" t="s">
        <v>24</v>
      </c>
      <c r="B79" t="s">
        <v>131</v>
      </c>
      <c r="C79">
        <v>57.449742960000002</v>
      </c>
      <c r="D79">
        <v>14</v>
      </c>
      <c r="E79">
        <v>359</v>
      </c>
      <c r="F79">
        <v>2483.760178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6.7809466260000004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42.952444749999998</v>
      </c>
      <c r="T79" t="s">
        <v>64</v>
      </c>
      <c r="U79">
        <v>3.0551418180000001</v>
      </c>
      <c r="V79" t="s">
        <v>31</v>
      </c>
      <c r="W79" t="s">
        <v>32</v>
      </c>
      <c r="X79">
        <v>852.5680989</v>
      </c>
    </row>
    <row r="80" spans="1:24" x14ac:dyDescent="0.3">
      <c r="A80" t="s">
        <v>24</v>
      </c>
      <c r="B80" t="s">
        <v>132</v>
      </c>
      <c r="C80">
        <v>6.3068831760000004</v>
      </c>
      <c r="D80">
        <v>50</v>
      </c>
      <c r="E80">
        <v>946</v>
      </c>
      <c r="F80">
        <v>1292.4584179999999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8.4670497709999992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71.126514720000003</v>
      </c>
      <c r="T80" t="s">
        <v>30</v>
      </c>
      <c r="U80">
        <v>4.0968813319999997</v>
      </c>
      <c r="V80" t="s">
        <v>56</v>
      </c>
      <c r="W80" t="s">
        <v>41</v>
      </c>
      <c r="X80">
        <v>323.59220340000002</v>
      </c>
    </row>
    <row r="81" spans="1:24" x14ac:dyDescent="0.3">
      <c r="A81" t="s">
        <v>24</v>
      </c>
      <c r="B81" t="s">
        <v>133</v>
      </c>
      <c r="C81">
        <v>57.057031219999999</v>
      </c>
      <c r="D81">
        <v>56</v>
      </c>
      <c r="E81">
        <v>198</v>
      </c>
      <c r="F81">
        <v>7888.7232679999997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6.4963253639999996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57.870902919999999</v>
      </c>
      <c r="T81" t="s">
        <v>30</v>
      </c>
      <c r="U81">
        <v>0.16587162699999999</v>
      </c>
      <c r="V81" t="s">
        <v>40</v>
      </c>
      <c r="W81" t="s">
        <v>41</v>
      </c>
      <c r="X81">
        <v>351.50421929999999</v>
      </c>
    </row>
    <row r="82" spans="1:24" x14ac:dyDescent="0.3">
      <c r="A82" t="s">
        <v>33</v>
      </c>
      <c r="B82" t="s">
        <v>134</v>
      </c>
      <c r="C82">
        <v>91.128318350000001</v>
      </c>
      <c r="D82">
        <v>75</v>
      </c>
      <c r="E82">
        <v>872</v>
      </c>
      <c r="F82">
        <v>8651.6726830000007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2.8331846789999999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76.961228019999993</v>
      </c>
      <c r="T82" t="s">
        <v>46</v>
      </c>
      <c r="U82">
        <v>2.849662199</v>
      </c>
      <c r="V82" t="s">
        <v>56</v>
      </c>
      <c r="W82" t="s">
        <v>32</v>
      </c>
      <c r="X82">
        <v>787.77985049999995</v>
      </c>
    </row>
    <row r="83" spans="1:24" x14ac:dyDescent="0.3">
      <c r="A83" t="s">
        <v>24</v>
      </c>
      <c r="B83" t="s">
        <v>135</v>
      </c>
      <c r="C83">
        <v>72.819206930000007</v>
      </c>
      <c r="D83">
        <v>9</v>
      </c>
      <c r="E83">
        <v>774</v>
      </c>
      <c r="F83">
        <v>4384.4134000000004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4.0662775020000002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19.789592939999999</v>
      </c>
      <c r="T83" t="s">
        <v>30</v>
      </c>
      <c r="U83">
        <v>2.5475471220000001</v>
      </c>
      <c r="V83" t="s">
        <v>47</v>
      </c>
      <c r="W83" t="s">
        <v>32</v>
      </c>
      <c r="X83">
        <v>276.7783359</v>
      </c>
    </row>
    <row r="84" spans="1:24" x14ac:dyDescent="0.3">
      <c r="A84" t="s">
        <v>33</v>
      </c>
      <c r="B84" t="s">
        <v>136</v>
      </c>
      <c r="C84">
        <v>17.03493074</v>
      </c>
      <c r="D84">
        <v>13</v>
      </c>
      <c r="E84">
        <v>336</v>
      </c>
      <c r="F84">
        <v>2943.3818679999999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4.7081818740000001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4.4652784350000001</v>
      </c>
      <c r="T84" t="s">
        <v>30</v>
      </c>
      <c r="U84">
        <v>4.1378770490000001</v>
      </c>
      <c r="V84" t="s">
        <v>31</v>
      </c>
      <c r="W84" t="s">
        <v>41</v>
      </c>
      <c r="X84">
        <v>589.97855560000005</v>
      </c>
    </row>
    <row r="85" spans="1:24" x14ac:dyDescent="0.3">
      <c r="A85" t="s">
        <v>24</v>
      </c>
      <c r="B85" t="s">
        <v>137</v>
      </c>
      <c r="C85">
        <v>68.911246210000002</v>
      </c>
      <c r="D85">
        <v>82</v>
      </c>
      <c r="E85">
        <v>663</v>
      </c>
      <c r="F85">
        <v>2411.7546320000001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4.9498395779999997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97.730593799999994</v>
      </c>
      <c r="T85" t="s">
        <v>46</v>
      </c>
      <c r="U85">
        <v>0.77300613399999996</v>
      </c>
      <c r="V85" t="s">
        <v>31</v>
      </c>
      <c r="W85" t="s">
        <v>48</v>
      </c>
      <c r="X85">
        <v>682.9710182</v>
      </c>
    </row>
    <row r="86" spans="1:24" x14ac:dyDescent="0.3">
      <c r="A86" t="s">
        <v>24</v>
      </c>
      <c r="B86" t="s">
        <v>138</v>
      </c>
      <c r="C86">
        <v>89.104367289999999</v>
      </c>
      <c r="D86">
        <v>99</v>
      </c>
      <c r="E86">
        <v>618</v>
      </c>
      <c r="F86">
        <v>2048.2901000000002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8.3816156250000002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33.808636509999999</v>
      </c>
      <c r="T86" t="s">
        <v>64</v>
      </c>
      <c r="U86">
        <v>4.8434565770000004</v>
      </c>
      <c r="V86" t="s">
        <v>40</v>
      </c>
      <c r="W86" t="s">
        <v>32</v>
      </c>
      <c r="X86">
        <v>465.45700599999998</v>
      </c>
    </row>
    <row r="87" spans="1:24" x14ac:dyDescent="0.3">
      <c r="A87" t="s">
        <v>57</v>
      </c>
      <c r="B87" t="s">
        <v>139</v>
      </c>
      <c r="C87">
        <v>76.962994420000001</v>
      </c>
      <c r="D87">
        <v>83</v>
      </c>
      <c r="E87">
        <v>25</v>
      </c>
      <c r="F87">
        <v>8684.6130589999993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8.2491687050000007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69.929345519999998</v>
      </c>
      <c r="T87" t="s">
        <v>46</v>
      </c>
      <c r="U87">
        <v>1.3744289999999999</v>
      </c>
      <c r="V87" t="s">
        <v>31</v>
      </c>
      <c r="W87" t="s">
        <v>32</v>
      </c>
      <c r="X87">
        <v>842.68682999999999</v>
      </c>
    </row>
    <row r="88" spans="1:24" x14ac:dyDescent="0.3">
      <c r="A88" t="s">
        <v>33</v>
      </c>
      <c r="B88" t="s">
        <v>140</v>
      </c>
      <c r="C88">
        <v>19.99817694</v>
      </c>
      <c r="D88">
        <v>18</v>
      </c>
      <c r="E88">
        <v>223</v>
      </c>
      <c r="F88">
        <v>1229.5910289999999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1.4543053100000001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74.608969999999999</v>
      </c>
      <c r="T88" t="s">
        <v>64</v>
      </c>
      <c r="U88">
        <v>2.051512931</v>
      </c>
      <c r="V88" t="s">
        <v>47</v>
      </c>
      <c r="W88" t="s">
        <v>48</v>
      </c>
      <c r="X88">
        <v>264.2548898</v>
      </c>
    </row>
    <row r="89" spans="1:24" x14ac:dyDescent="0.3">
      <c r="A89" t="s">
        <v>24</v>
      </c>
      <c r="B89" t="s">
        <v>141</v>
      </c>
      <c r="C89">
        <v>80.41403665</v>
      </c>
      <c r="D89">
        <v>24</v>
      </c>
      <c r="E89">
        <v>79</v>
      </c>
      <c r="F89">
        <v>5133.8467010000004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6.5758037979999999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28.696996819999999</v>
      </c>
      <c r="T89" t="s">
        <v>46</v>
      </c>
      <c r="U89">
        <v>3.693737788</v>
      </c>
      <c r="V89" t="s">
        <v>56</v>
      </c>
      <c r="W89" t="s">
        <v>32</v>
      </c>
      <c r="X89">
        <v>879.35921770000004</v>
      </c>
    </row>
    <row r="90" spans="1:24" x14ac:dyDescent="0.3">
      <c r="A90" t="s">
        <v>57</v>
      </c>
      <c r="B90" t="s">
        <v>142</v>
      </c>
      <c r="C90">
        <v>75.270406980000004</v>
      </c>
      <c r="D90">
        <v>58</v>
      </c>
      <c r="E90">
        <v>737</v>
      </c>
      <c r="F90">
        <v>9444.7420330000004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3.8012531329999999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68.184919059999999</v>
      </c>
      <c r="T90" t="s">
        <v>30</v>
      </c>
      <c r="U90">
        <v>0.72220440200000002</v>
      </c>
      <c r="V90" t="s">
        <v>56</v>
      </c>
      <c r="W90" t="s">
        <v>48</v>
      </c>
      <c r="X90">
        <v>103.916248</v>
      </c>
    </row>
    <row r="91" spans="1:24" x14ac:dyDescent="0.3">
      <c r="A91" t="s">
        <v>57</v>
      </c>
      <c r="B91" t="s">
        <v>143</v>
      </c>
      <c r="C91">
        <v>97.760085579999995</v>
      </c>
      <c r="D91">
        <v>10</v>
      </c>
      <c r="E91">
        <v>134</v>
      </c>
      <c r="F91">
        <v>5924.6825669999998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9.9298162449999996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46.603873380000003</v>
      </c>
      <c r="T91" t="s">
        <v>30</v>
      </c>
      <c r="U91">
        <v>1.9076657340000001</v>
      </c>
      <c r="V91" t="s">
        <v>47</v>
      </c>
      <c r="W91" t="s">
        <v>32</v>
      </c>
      <c r="X91">
        <v>517.49997389999999</v>
      </c>
    </row>
    <row r="92" spans="1:24" x14ac:dyDescent="0.3">
      <c r="A92" t="s">
        <v>33</v>
      </c>
      <c r="B92" t="s">
        <v>144</v>
      </c>
      <c r="C92">
        <v>13.8819135</v>
      </c>
      <c r="D92">
        <v>56</v>
      </c>
      <c r="E92">
        <v>320</v>
      </c>
      <c r="F92">
        <v>9592.63357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85.675963339999996</v>
      </c>
      <c r="T92" t="s">
        <v>64</v>
      </c>
      <c r="U92">
        <v>1.2193822240000001</v>
      </c>
      <c r="V92" t="s">
        <v>47</v>
      </c>
      <c r="W92" t="s">
        <v>32</v>
      </c>
      <c r="X92">
        <v>990.07847249999998</v>
      </c>
    </row>
    <row r="93" spans="1:24" x14ac:dyDescent="0.3">
      <c r="A93" t="s">
        <v>57</v>
      </c>
      <c r="B93" t="s">
        <v>145</v>
      </c>
      <c r="C93">
        <v>62.11196546</v>
      </c>
      <c r="D93">
        <v>90</v>
      </c>
      <c r="E93">
        <v>916</v>
      </c>
      <c r="F93">
        <v>1935.2067939999999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7.4715140839999998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39.772882500000001</v>
      </c>
      <c r="T93" t="s">
        <v>30</v>
      </c>
      <c r="U93">
        <v>0.62600185799999997</v>
      </c>
      <c r="V93" t="s">
        <v>47</v>
      </c>
      <c r="W93" t="s">
        <v>32</v>
      </c>
      <c r="X93">
        <v>996.77831500000002</v>
      </c>
    </row>
    <row r="94" spans="1:24" x14ac:dyDescent="0.3">
      <c r="A94" t="s">
        <v>57</v>
      </c>
      <c r="B94" t="s">
        <v>146</v>
      </c>
      <c r="C94">
        <v>47.71423308</v>
      </c>
      <c r="D94">
        <v>44</v>
      </c>
      <c r="E94">
        <v>276</v>
      </c>
      <c r="F94">
        <v>2100.1297549999999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4.4695000260000004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62.612690399999998</v>
      </c>
      <c r="T94" t="s">
        <v>64</v>
      </c>
      <c r="U94">
        <v>0.33343182500000002</v>
      </c>
      <c r="V94" t="s">
        <v>47</v>
      </c>
      <c r="W94" t="s">
        <v>32</v>
      </c>
      <c r="X94">
        <v>230.0927825</v>
      </c>
    </row>
    <row r="95" spans="1:24" x14ac:dyDescent="0.3">
      <c r="A95" t="s">
        <v>24</v>
      </c>
      <c r="B95" t="s">
        <v>147</v>
      </c>
      <c r="C95">
        <v>69.290830999999997</v>
      </c>
      <c r="D95">
        <v>88</v>
      </c>
      <c r="E95">
        <v>114</v>
      </c>
      <c r="F95">
        <v>4531.4021339999999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7.0064320589999998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35.633652339999998</v>
      </c>
      <c r="T95" t="s">
        <v>46</v>
      </c>
      <c r="U95">
        <v>4.165781795</v>
      </c>
      <c r="V95" t="s">
        <v>40</v>
      </c>
      <c r="W95" t="s">
        <v>48</v>
      </c>
      <c r="X95">
        <v>823.52384589999997</v>
      </c>
    </row>
    <row r="96" spans="1:24" x14ac:dyDescent="0.3">
      <c r="A96" t="s">
        <v>57</v>
      </c>
      <c r="B96" t="s">
        <v>148</v>
      </c>
      <c r="C96">
        <v>3.0376887250000002</v>
      </c>
      <c r="D96">
        <v>97</v>
      </c>
      <c r="E96">
        <v>987</v>
      </c>
      <c r="F96">
        <v>7888.3565470000003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6.9429459419999997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60.387378609999999</v>
      </c>
      <c r="T96" t="s">
        <v>64</v>
      </c>
      <c r="U96">
        <v>1.463607498</v>
      </c>
      <c r="V96" t="s">
        <v>47</v>
      </c>
      <c r="W96" t="s">
        <v>32</v>
      </c>
      <c r="X96">
        <v>846.665257</v>
      </c>
    </row>
    <row r="97" spans="1:24" x14ac:dyDescent="0.3">
      <c r="A97" t="s">
        <v>24</v>
      </c>
      <c r="B97" t="s">
        <v>149</v>
      </c>
      <c r="C97">
        <v>77.90392722</v>
      </c>
      <c r="D97">
        <v>65</v>
      </c>
      <c r="E97">
        <v>672</v>
      </c>
      <c r="F97">
        <v>7386.3639439999997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8.6303388699999992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58.890685769999997</v>
      </c>
      <c r="T97" t="s">
        <v>30</v>
      </c>
      <c r="U97">
        <v>1.2108821299999999</v>
      </c>
      <c r="V97" t="s">
        <v>40</v>
      </c>
      <c r="W97" t="s">
        <v>48</v>
      </c>
      <c r="X97">
        <v>778.86424139999997</v>
      </c>
    </row>
    <row r="98" spans="1:24" x14ac:dyDescent="0.3">
      <c r="A98" t="s">
        <v>57</v>
      </c>
      <c r="B98" t="s">
        <v>150</v>
      </c>
      <c r="C98">
        <v>24.423131420000001</v>
      </c>
      <c r="D98">
        <v>29</v>
      </c>
      <c r="E98">
        <v>324</v>
      </c>
      <c r="F98">
        <v>7698.4247660000001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5.3528780439999997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17.803756329999999</v>
      </c>
      <c r="T98" t="s">
        <v>30</v>
      </c>
      <c r="U98">
        <v>3.8720476810000002</v>
      </c>
      <c r="V98" t="s">
        <v>31</v>
      </c>
      <c r="W98" t="s">
        <v>48</v>
      </c>
      <c r="X98">
        <v>188.7421411</v>
      </c>
    </row>
    <row r="99" spans="1:24" x14ac:dyDescent="0.3">
      <c r="A99" t="s">
        <v>24</v>
      </c>
      <c r="B99" t="s">
        <v>151</v>
      </c>
      <c r="C99">
        <v>3.5261112589999999</v>
      </c>
      <c r="D99">
        <v>56</v>
      </c>
      <c r="E99">
        <v>62</v>
      </c>
      <c r="F99">
        <v>4370.9165800000001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7.9048456109999998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65.765155930000006</v>
      </c>
      <c r="T99" t="s">
        <v>46</v>
      </c>
      <c r="U99">
        <v>3.376237835</v>
      </c>
      <c r="V99" t="s">
        <v>31</v>
      </c>
      <c r="W99" t="s">
        <v>48</v>
      </c>
      <c r="X99">
        <v>540.13242290000005</v>
      </c>
    </row>
    <row r="100" spans="1:24" x14ac:dyDescent="0.3">
      <c r="A100" t="s">
        <v>33</v>
      </c>
      <c r="B100" t="s">
        <v>152</v>
      </c>
      <c r="C100">
        <v>19.754604870000001</v>
      </c>
      <c r="D100">
        <v>43</v>
      </c>
      <c r="E100">
        <v>913</v>
      </c>
      <c r="F100">
        <v>8525.9525599999997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1.4098010949999999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5.6046908640000002</v>
      </c>
      <c r="T100" t="s">
        <v>30</v>
      </c>
      <c r="U100">
        <v>2.9081221689999999</v>
      </c>
      <c r="V100" t="s">
        <v>47</v>
      </c>
      <c r="W100" t="s">
        <v>48</v>
      </c>
      <c r="X100">
        <v>882.19886350000002</v>
      </c>
    </row>
    <row r="101" spans="1:24" x14ac:dyDescent="0.3">
      <c r="A101" t="s">
        <v>24</v>
      </c>
      <c r="B101" t="s">
        <v>153</v>
      </c>
      <c r="C101">
        <v>68.5178327</v>
      </c>
      <c r="D101">
        <v>17</v>
      </c>
      <c r="E101">
        <v>627</v>
      </c>
      <c r="F101">
        <v>9185.185829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38.072898520000003</v>
      </c>
      <c r="T101" t="s">
        <v>46</v>
      </c>
      <c r="U101">
        <v>0.34602729100000001</v>
      </c>
      <c r="V101" t="s">
        <v>47</v>
      </c>
      <c r="W101" t="s">
        <v>32</v>
      </c>
      <c r="X101">
        <v>210.743009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70F1-C270-4F14-B103-350FEBACCF1B}">
  <dimension ref="A1:B7"/>
  <sheetViews>
    <sheetView workbookViewId="0">
      <selection activeCell="E23" sqref="E23"/>
    </sheetView>
  </sheetViews>
  <sheetFormatPr defaultRowHeight="14.4" x14ac:dyDescent="0.3"/>
  <sheetData>
    <row r="1" spans="1:2" x14ac:dyDescent="0.3">
      <c r="A1" s="1" t="s">
        <v>154</v>
      </c>
      <c r="B1" s="1" t="s">
        <v>155</v>
      </c>
    </row>
    <row r="2" spans="1:2" x14ac:dyDescent="0.3">
      <c r="A2" s="2" t="s">
        <v>156</v>
      </c>
      <c r="B2">
        <f>SUM('[1]Supply chain dataser'!E:E)</f>
        <v>46099</v>
      </c>
    </row>
    <row r="3" spans="1:2" x14ac:dyDescent="0.3">
      <c r="A3" s="2" t="s">
        <v>157</v>
      </c>
      <c r="B3">
        <f>SUM('Supply chain dataset'!F:F)</f>
        <v>577604.81874000002</v>
      </c>
    </row>
    <row r="4" spans="1:2" x14ac:dyDescent="0.3">
      <c r="A4" s="2" t="s">
        <v>158</v>
      </c>
      <c r="B4">
        <f>AVERAGE('Supply chain dataset'!C:C)</f>
        <v>49.46246134490999</v>
      </c>
    </row>
    <row r="5" spans="1:2" x14ac:dyDescent="0.3">
      <c r="A5" s="2" t="s">
        <v>159</v>
      </c>
      <c r="B5">
        <f>AVERAGE('Supply chain dataset'!U:U)</f>
        <v>2.2771579927399999</v>
      </c>
    </row>
    <row r="6" spans="1:2" x14ac:dyDescent="0.3">
      <c r="A6" s="2" t="s">
        <v>160</v>
      </c>
      <c r="B6">
        <f>SUM('Supply chain dataset'!M:M)</f>
        <v>554.81490720000011</v>
      </c>
    </row>
    <row r="7" spans="1:2" x14ac:dyDescent="0.3">
      <c r="A7" s="2" t="s">
        <v>161</v>
      </c>
      <c r="B7">
        <f>SUM('Supply chain dataset'!X:X)</f>
        <v>52924.578215400019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Dashboard</vt:lpstr>
      <vt:lpstr>Supply chain dataset</vt:lpstr>
      <vt:lpstr>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Deepthi V</cp:lastModifiedBy>
  <dcterms:created xsi:type="dcterms:W3CDTF">2026-10-06T06:09:38Z</dcterms:created>
  <dcterms:modified xsi:type="dcterms:W3CDTF">2026-10-06T08:19:56Z</dcterms:modified>
</cp:coreProperties>
</file>